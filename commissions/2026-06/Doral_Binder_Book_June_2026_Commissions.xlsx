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ission Summary" sheetId="1" state="visible" r:id="rId3"/>
    <sheet name="Transaction Detail" sheetId="2" state="visible" r:id="rId4"/>
    <sheet name="Carrier Recap" sheetId="3" state="visible" r:id="rId5"/>
    <sheet name="Book Activity by Carrier" sheetId="4" state="visible" r:id="rId6"/>
    <sheet name="Notes &amp; Sources" sheetId="5" state="visible" r:id="rId7"/>
  </sheets>
  <definedNames>
    <definedName function="false" hidden="true" localSheetId="3" name="_xlnm._FilterDatabase" vbProcedure="false">'Book Activity by Carrier'!$A$4:$K$128</definedName>
    <definedName function="false" hidden="true" localSheetId="0" name="_xlnm._FilterDatabase" vbProcedure="false">'Commission Summary'!$A$5:$Q$74</definedName>
    <definedName function="false" hidden="true" localSheetId="1" name="_xlnm._FilterDatabase" vbProcedure="false">'Transaction Detail'!$A$1:$Q$385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Blue figures are taken directly from the carrier commission statement. Column L re-performs them as basis x rate and column M shows the difference.</t>
        </r>
      </text>
    </comment>
    <comment ref="O1" authorId="0">
      <text>
        <r>
          <rPr>
            <sz val="10"/>
            <rFont val="Arial"/>
            <family val="2"/>
          </rPr>
          <t xml:space="preserve">United Auto is booked at 10% as collected. Its separate 3% promotional incentive lines (shaded) are carried in column K exactly as United shows them, but are zeroed here so they do not reach the Commission Summary.</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No client on the June binder sheet appears on the GEICO statement, but the wider Doral book does: Iris Lopez Sanchez (policy 6219586788) has two renewal-year lines on it. The rest of the statement covers writing agents Alberto Manzor Jr and Amanda Montano.</t>
        </r>
      </text>
    </comment>
    <comment ref="H6" authorId="0">
      <text>
        <r>
          <rPr>
            <sz val="10"/>
            <rFont val="Arial"/>
            <family val="2"/>
          </rPr>
          <t xml:space="preserve">The United statement NETS to $444.33 for the whole agency because large cancellations on non-Doral policies (Charlie Hoz, Gabriela Liriano, Mirloude Petit Frere) charge back more than $1,300. This column also includes United's 3% promotional incentive, which the Doral totals deliberately exclude. Both are why the Doral share of this statement reads over 100% - that is correct, not an error.</t>
        </r>
      </text>
    </comment>
    <comment ref="J3" authorId="0">
      <text>
        <r>
          <rPr>
            <sz val="10"/>
            <rFont val="Arial"/>
            <family val="2"/>
          </rPr>
          <t xml:space="preserve">Doral book transactions found on the June statements that are NOT on the June binder sheet - listed in full on the Book Activity by Carrier tab.</t>
        </r>
      </text>
    </comment>
  </commentList>
</comments>
</file>

<file path=xl/sharedStrings.xml><?xml version="1.0" encoding="utf-8"?>
<sst xmlns="http://schemas.openxmlformats.org/spreadsheetml/2006/main" count="5795" uniqueCount="1439">
  <si>
    <t xml:space="preserve">Doral Office Binder Book - June 2026 Commission Statement</t>
  </si>
  <si>
    <t xml:space="preserve">Universal Insurance Brokers  |  Producer: Jorge  |  Statement period 06/01/2026 - 06/30/2026</t>
  </si>
  <si>
    <t xml:space="preserve">Commission taken from each carrier commission statement at the rate that carrier shows, matched by policy number. United Auto is booked at 10% as collected.</t>
  </si>
  <si>
    <t xml:space="preserve">Producer</t>
  </si>
  <si>
    <t xml:space="preserve">Customer Name</t>
  </si>
  <si>
    <t xml:space="preserve">Binder Status</t>
  </si>
  <si>
    <t xml:space="preserve">New / Renewal</t>
  </si>
  <si>
    <t xml:space="preserve">Line of Business</t>
  </si>
  <si>
    <t xml:space="preserve">Carrier</t>
  </si>
  <si>
    <t xml:space="preserve">Policy Number</t>
  </si>
  <si>
    <t xml:space="preserve">Eff. Date</t>
  </si>
  <si>
    <t xml:space="preserve">Term (mo)</t>
  </si>
  <si>
    <t xml:space="preserve">Binder Premium</t>
  </si>
  <si>
    <t xml:space="preserve">Carrier Statement Used</t>
  </si>
  <si>
    <t xml:space="preserve"># Txns</t>
  </si>
  <si>
    <t xml:space="preserve">Carrier Comm Rate</t>
  </si>
  <si>
    <t xml:space="preserve">Commissionable Premium</t>
  </si>
  <si>
    <t xml:space="preserve">Commission Earned</t>
  </si>
  <si>
    <t xml:space="preserve">Effective Rate</t>
  </si>
  <si>
    <t xml:space="preserve">Notes</t>
  </si>
  <si>
    <t xml:space="preserve">key</t>
  </si>
  <si>
    <t xml:space="preserve">NEW BUSINESS</t>
  </si>
  <si>
    <t xml:space="preserve">Jorge</t>
  </si>
  <si>
    <t xml:space="preserve">MARLENE CASTILLO</t>
  </si>
  <si>
    <t xml:space="preserve">Active</t>
  </si>
  <si>
    <t xml:space="preserve">New Business</t>
  </si>
  <si>
    <t xml:space="preserve">Personal Auto</t>
  </si>
  <si>
    <t xml:space="preserve">Infinity</t>
  </si>
  <si>
    <t xml:space="preserve">10268755201</t>
  </si>
  <si>
    <t xml:space="preserve">6/1/2026</t>
  </si>
  <si>
    <t xml:space="preserve">Kemper Auto Monthly Producer Stmt 06/2026</t>
  </si>
  <si>
    <t xml:space="preserve">Infinity|10268755201</t>
  </si>
  <si>
    <t xml:space="preserve">LIONEL JOHNSON</t>
  </si>
  <si>
    <t xml:space="preserve">10268783901</t>
  </si>
  <si>
    <t xml:space="preserve">6/5/2026</t>
  </si>
  <si>
    <t xml:space="preserve">Infinity|10268783901</t>
  </si>
  <si>
    <t xml:space="preserve">LUIS A. ORTIZ</t>
  </si>
  <si>
    <t xml:space="preserve">United Auto</t>
  </si>
  <si>
    <t xml:space="preserve">UAO 692181</t>
  </si>
  <si>
    <t xml:space="preserve">6/2/2026</t>
  </si>
  <si>
    <t xml:space="preserve">United Insurance Group Direct Billing Stmt 06/2026</t>
  </si>
  <si>
    <t xml:space="preserve">United bills this policy direct and pays AS COLLECTED, so June earns commission only on the premium United collected in June - more follows in later months. | Booked at 10% as collected. United also paid a separate 3% promotional incentive of $4.90 on this policy - it is shown on the Transaction Detail tab but is deliberately EXCLUDED from this total. | </t>
  </si>
  <si>
    <t xml:space="preserve">United Auto|UAO692181</t>
  </si>
  <si>
    <t xml:space="preserve">GREGORIO QUIROZ</t>
  </si>
  <si>
    <t xml:space="preserve">Progressive</t>
  </si>
  <si>
    <t xml:space="preserve">875244202</t>
  </si>
  <si>
    <t xml:space="preserve">6/6/2026</t>
  </si>
  <si>
    <t xml:space="preserve">Progressive Detailed Statement 06/2026</t>
  </si>
  <si>
    <t xml:space="preserve">Progressive|875244202</t>
  </si>
  <si>
    <t xml:space="preserve">JULIO RAMIREZ</t>
  </si>
  <si>
    <t xml:space="preserve">875310026</t>
  </si>
  <si>
    <t xml:space="preserve">6/8/2026</t>
  </si>
  <si>
    <t xml:space="preserve">Credit Endorsement -277.00 @ 14%; New Business 1,935.00 @ 14%; Credit Endorsement -244.71 @ 14%</t>
  </si>
  <si>
    <t xml:space="preserve">Progressive|875310026</t>
  </si>
  <si>
    <t xml:space="preserve">JAMIE JONES</t>
  </si>
  <si>
    <t xml:space="preserve">875520372</t>
  </si>
  <si>
    <t xml:space="preserve">6/12/2026</t>
  </si>
  <si>
    <t xml:space="preserve">Progressive|875520372</t>
  </si>
  <si>
    <t xml:space="preserve">YUDMILA CADENAS</t>
  </si>
  <si>
    <t xml:space="preserve">875557253</t>
  </si>
  <si>
    <t xml:space="preserve">6/13/2026</t>
  </si>
  <si>
    <t xml:space="preserve">Progressive|875557253</t>
  </si>
  <si>
    <t xml:space="preserve">JEAN H. GUSTAVE</t>
  </si>
  <si>
    <t xml:space="preserve">UAO 694805</t>
  </si>
  <si>
    <t xml:space="preserve">Booked at 10% as collected. United also paid a separate 3% promotional incentive of $83.91 on this policy - it is shown on the Transaction Detail tab but is deliberately EXCLUDED from this total. | </t>
  </si>
  <si>
    <t xml:space="preserve">United Auto|UAO694805</t>
  </si>
  <si>
    <t xml:space="preserve">YOANNY ALONSO M.</t>
  </si>
  <si>
    <t xml:space="preserve">875569393</t>
  </si>
  <si>
    <t xml:space="preserve">Progressive|875569393</t>
  </si>
  <si>
    <t xml:space="preserve">YADIER CORDERO G.</t>
  </si>
  <si>
    <t xml:space="preserve">UAO 695126</t>
  </si>
  <si>
    <t xml:space="preserve">6/15/2026</t>
  </si>
  <si>
    <t xml:space="preserve">Booked at 10% as collected. United also paid a separate 3% promotional incentive of $74.55 on this policy - it is shown on the Transaction Detail tab but is deliberately EXCLUDED from this total. | New Business 2,233.00 @ 10%; Endorsement 252.00 @ 10%</t>
  </si>
  <si>
    <t xml:space="preserve">United Auto|UAO695126</t>
  </si>
  <si>
    <t xml:space="preserve">STEPHANIE VAZQUEZ</t>
  </si>
  <si>
    <t xml:space="preserve">UAO 695998</t>
  </si>
  <si>
    <t xml:space="preserve">6/19/2026</t>
  </si>
  <si>
    <t xml:space="preserve">Booked at 10% as collected. United also paid a separate 3% promotional incentive of $32.37 on this policy - it is shown on the Transaction Detail tab but is deliberately EXCLUDED from this total. | </t>
  </si>
  <si>
    <t xml:space="preserve">United Auto|UAO695998</t>
  </si>
  <si>
    <t xml:space="preserve">TAURUS L. PRESSLEY</t>
  </si>
  <si>
    <t xml:space="preserve">10270293001</t>
  </si>
  <si>
    <t xml:space="preserve">6/20/2026</t>
  </si>
  <si>
    <t xml:space="preserve">Infinity|10270293001</t>
  </si>
  <si>
    <t xml:space="preserve">ANTHONY PATTERSON</t>
  </si>
  <si>
    <t xml:space="preserve">875889820</t>
  </si>
  <si>
    <t xml:space="preserve">Credit Endorsement -86.00 @ 10%; New Business 1,760.00 @ 10%</t>
  </si>
  <si>
    <t xml:space="preserve">Progressive|875889820</t>
  </si>
  <si>
    <t xml:space="preserve">FELIPE GONZALEZ</t>
  </si>
  <si>
    <t xml:space="preserve">10270429601</t>
  </si>
  <si>
    <t xml:space="preserve">6/23/2026</t>
  </si>
  <si>
    <t xml:space="preserve">Infinity|10270429601</t>
  </si>
  <si>
    <t xml:space="preserve">CHRISTINA COSME</t>
  </si>
  <si>
    <t xml:space="preserve">876013327</t>
  </si>
  <si>
    <t xml:space="preserve">Progressive|876013327</t>
  </si>
  <si>
    <t xml:space="preserve">CARLOS TABOADA</t>
  </si>
  <si>
    <t xml:space="preserve">876150583</t>
  </si>
  <si>
    <t xml:space="preserve">6/26/2026</t>
  </si>
  <si>
    <t xml:space="preserve">Progressive|876150583</t>
  </si>
  <si>
    <t xml:space="preserve">MICHAEL D. HOWARD</t>
  </si>
  <si>
    <t xml:space="preserve">UAO 697725</t>
  </si>
  <si>
    <t xml:space="preserve">6/27/2026</t>
  </si>
  <si>
    <t xml:space="preserve">Booked at 10% as collected. United also paid a separate 3% promotional incentive of $41.19 on this policy - it is shown on the Transaction Detail tab but is deliberately EXCLUDED from this total. | </t>
  </si>
  <si>
    <t xml:space="preserve">United Auto|UAO697725</t>
  </si>
  <si>
    <t xml:space="preserve">BRIANNA IRISH</t>
  </si>
  <si>
    <t xml:space="preserve">876186100</t>
  </si>
  <si>
    <t xml:space="preserve">Progressive|876186100</t>
  </si>
  <si>
    <t xml:space="preserve">NEW BUSINESS SUBTOTAL</t>
  </si>
  <si>
    <t xml:space="preserve">RENEWALS</t>
  </si>
  <si>
    <t xml:space="preserve">AMARILLYS GONZALEZ</t>
  </si>
  <si>
    <t xml:space="preserve">Renewed</t>
  </si>
  <si>
    <t xml:space="preserve">Renewal</t>
  </si>
  <si>
    <t xml:space="preserve">970306264</t>
  </si>
  <si>
    <t xml:space="preserve">Policy not found on the June 2026 Progressive statement - commission likely paid in a different statement period.</t>
  </si>
  <si>
    <t xml:space="preserve">Progressive|970306264</t>
  </si>
  <si>
    <t xml:space="preserve">BRUDYS GARCIA</t>
  </si>
  <si>
    <t xml:space="preserve">990100610</t>
  </si>
  <si>
    <t xml:space="preserve">Progressive|990100610</t>
  </si>
  <si>
    <t xml:space="preserve">YOSVANY LARRALDE</t>
  </si>
  <si>
    <t xml:space="preserve">Boat</t>
  </si>
  <si>
    <t xml:space="preserve">982064065</t>
  </si>
  <si>
    <t xml:space="preserve">6/3/2026</t>
  </si>
  <si>
    <t xml:space="preserve">Progressive|982064065</t>
  </si>
  <si>
    <t xml:space="preserve">ANA G CASTANO</t>
  </si>
  <si>
    <t xml:space="preserve">866496112</t>
  </si>
  <si>
    <t xml:space="preserve">Progressive|866496112</t>
  </si>
  <si>
    <t xml:space="preserve">MANUEL MARTINEZ</t>
  </si>
  <si>
    <t xml:space="preserve">990228513</t>
  </si>
  <si>
    <t xml:space="preserve">Progressive|990228513</t>
  </si>
  <si>
    <t xml:space="preserve">NIEVES ABREU</t>
  </si>
  <si>
    <t xml:space="preserve">866656050</t>
  </si>
  <si>
    <t xml:space="preserve">Progressive|866656050</t>
  </si>
  <si>
    <t xml:space="preserve">IBET COLLADO</t>
  </si>
  <si>
    <t xml:space="preserve">982208807</t>
  </si>
  <si>
    <t xml:space="preserve">Progressive|982208807</t>
  </si>
  <si>
    <t xml:space="preserve">ALEJANDRO COLLADO</t>
  </si>
  <si>
    <t xml:space="preserve">48745204</t>
  </si>
  <si>
    <t xml:space="preserve">6/7/2026</t>
  </si>
  <si>
    <t xml:space="preserve">Renewal 1,956.00 @ 10%; Credit Endorsement -600.23 @ 10%</t>
  </si>
  <si>
    <t xml:space="preserve">Progressive|48745204</t>
  </si>
  <si>
    <t xml:space="preserve">MANUELA GOMEZ OROZCO</t>
  </si>
  <si>
    <t xml:space="preserve">866615155</t>
  </si>
  <si>
    <t xml:space="preserve">Progressive|866615155</t>
  </si>
  <si>
    <t xml:space="preserve">REYSEL CASTILLO</t>
  </si>
  <si>
    <t xml:space="preserve">970570633</t>
  </si>
  <si>
    <t xml:space="preserve">6/9/2026</t>
  </si>
  <si>
    <t xml:space="preserve">Progressive|970570633</t>
  </si>
  <si>
    <t xml:space="preserve">ERIC CRUZ</t>
  </si>
  <si>
    <t xml:space="preserve">998651589</t>
  </si>
  <si>
    <t xml:space="preserve">6/10/2026</t>
  </si>
  <si>
    <t xml:space="preserve">Progressive|998651589</t>
  </si>
  <si>
    <t xml:space="preserve">JORGE A AGUIRRE MARIN</t>
  </si>
  <si>
    <t xml:space="preserve">944684751</t>
  </si>
  <si>
    <t xml:space="preserve">6/11/2025</t>
  </si>
  <si>
    <t xml:space="preserve">Progressive|944684751</t>
  </si>
  <si>
    <t xml:space="preserve">NATHAN R WALTERS</t>
  </si>
  <si>
    <t xml:space="preserve">990565433</t>
  </si>
  <si>
    <t xml:space="preserve">Progressive|990565433</t>
  </si>
  <si>
    <t xml:space="preserve">GUSTAVO F ALFONSO</t>
  </si>
  <si>
    <t xml:space="preserve">975650843</t>
  </si>
  <si>
    <t xml:space="preserve">Progressive|975650843</t>
  </si>
  <si>
    <t xml:space="preserve">CARMELO QUINTO</t>
  </si>
  <si>
    <t xml:space="preserve">970707982</t>
  </si>
  <si>
    <t xml:space="preserve">6/14/2026</t>
  </si>
  <si>
    <t xml:space="preserve">Progressive|970707982</t>
  </si>
  <si>
    <t xml:space="preserve">ERNESTO TORRES ARTOLA</t>
  </si>
  <si>
    <t xml:space="preserve">866980392</t>
  </si>
  <si>
    <t xml:space="preserve">Progressive|866980392</t>
  </si>
  <si>
    <t xml:space="preserve">NOEMI SANTANA GUERRA</t>
  </si>
  <si>
    <t xml:space="preserve">867024300</t>
  </si>
  <si>
    <t xml:space="preserve">6/16/2026</t>
  </si>
  <si>
    <t xml:space="preserve">Progressive|867024300</t>
  </si>
  <si>
    <t xml:space="preserve">ALEJANDRO RUIZ ABELLA</t>
  </si>
  <si>
    <t xml:space="preserve">998666923</t>
  </si>
  <si>
    <t xml:space="preserve">Progressive|998666923</t>
  </si>
  <si>
    <t xml:space="preserve">CRISTIAN BARROSO</t>
  </si>
  <si>
    <t xml:space="preserve">970048369</t>
  </si>
  <si>
    <t xml:space="preserve">6/18/2026</t>
  </si>
  <si>
    <t xml:space="preserve">Progressive|970048369</t>
  </si>
  <si>
    <t xml:space="preserve">JEAN R LAMOTHE</t>
  </si>
  <si>
    <t xml:space="preserve">867210259</t>
  </si>
  <si>
    <t xml:space="preserve">Progressive|867210259</t>
  </si>
  <si>
    <t xml:space="preserve">YALCIN ACIKDENIZ</t>
  </si>
  <si>
    <t xml:space="preserve">Motorcycle/ATV</t>
  </si>
  <si>
    <t xml:space="preserve">982895397</t>
  </si>
  <si>
    <t xml:space="preserve">6/21/2026</t>
  </si>
  <si>
    <t xml:space="preserve">Progressive|982895397</t>
  </si>
  <si>
    <t xml:space="preserve">JUAN N PEREZ</t>
  </si>
  <si>
    <t xml:space="preserve">999181480</t>
  </si>
  <si>
    <t xml:space="preserve">6/21/2025</t>
  </si>
  <si>
    <t xml:space="preserve">Progressive|999181480</t>
  </si>
  <si>
    <t xml:space="preserve">YUNISLEK RODRIGUEZ</t>
  </si>
  <si>
    <t xml:space="preserve">964557631</t>
  </si>
  <si>
    <t xml:space="preserve">6/28/2026</t>
  </si>
  <si>
    <t xml:space="preserve">Progressive|964557631</t>
  </si>
  <si>
    <t xml:space="preserve">ERNESTO DELGADO PEREZ</t>
  </si>
  <si>
    <t xml:space="preserve">983213729</t>
  </si>
  <si>
    <t xml:space="preserve">Progressive|983213729</t>
  </si>
  <si>
    <t xml:space="preserve">Motorhome</t>
  </si>
  <si>
    <t xml:space="preserve">939532645</t>
  </si>
  <si>
    <t xml:space="preserve">Progressive|939532645</t>
  </si>
  <si>
    <t xml:space="preserve">ARTURO ALVAREZ</t>
  </si>
  <si>
    <t xml:space="preserve">964440209</t>
  </si>
  <si>
    <t xml:space="preserve">6/30/2026</t>
  </si>
  <si>
    <t xml:space="preserve">Progressive|964440209</t>
  </si>
  <si>
    <t xml:space="preserve">SERGIO LOPEZ</t>
  </si>
  <si>
    <t xml:space="preserve">971187635</t>
  </si>
  <si>
    <t xml:space="preserve">Progressive|971187635</t>
  </si>
  <si>
    <t xml:space="preserve">JAVIER FORERO</t>
  </si>
  <si>
    <t xml:space="preserve">Ocean Harbor</t>
  </si>
  <si>
    <t xml:space="preserve">P020082297007</t>
  </si>
  <si>
    <t xml:space="preserve">Pearl Holding Group Commission Stmt 06/2026</t>
  </si>
  <si>
    <t xml:space="preserve">Ocean Harbor|P20082297007</t>
  </si>
  <si>
    <t xml:space="preserve">YUSDELY JUNCO</t>
  </si>
  <si>
    <t xml:space="preserve">P020082739007</t>
  </si>
  <si>
    <t xml:space="preserve">Ocean Harbor|P20082739007</t>
  </si>
  <si>
    <t xml:space="preserve">SANDRA ZAMBRANA</t>
  </si>
  <si>
    <t xml:space="preserve">UAD 605735805</t>
  </si>
  <si>
    <t xml:space="preserve">United bills this policy direct and pays AS COLLECTED, so June earns commission only on the premium United collected in June - more follows in later months. | Booked at 10% as collected. United also paid a separate 3% promotional incentive of $6.64 on this policy - it is shown on the Transaction Detail tab but is deliberately EXCLUDED from this total. | </t>
  </si>
  <si>
    <t xml:space="preserve">United Auto|UAD605735805</t>
  </si>
  <si>
    <t xml:space="preserve">TAMEKA GREENE</t>
  </si>
  <si>
    <t xml:space="preserve">UAO 44288703</t>
  </si>
  <si>
    <t xml:space="preserve">United bills this policy direct and pays AS COLLECTED, so June earns commission only on the premium United collected in June - more follows in later months. | Booked at 10% as collected. United also paid a separate 3% promotional incentive of $4.86 on this policy - it is shown on the Transaction Detail tab but is deliberately EXCLUDED from this total. | </t>
  </si>
  <si>
    <t xml:space="preserve">United Auto|UAO44288703</t>
  </si>
  <si>
    <t xml:space="preserve">HECTOR LUIS RODRIGUEZ RAMOS</t>
  </si>
  <si>
    <t xml:space="preserve">UAE 20965001</t>
  </si>
  <si>
    <t xml:space="preserve">United bills this policy direct and pays AS COLLECTED, so June earns commission only on the premium United collected in June - more follows in later months. | Booked at 10% as collected. United also paid a separate 3% promotional incentive of $4.43 on this policy - it is shown on the Transaction Detail tab but is deliberately EXCLUDED from this total. | </t>
  </si>
  <si>
    <t xml:space="preserve">United Auto|UAE20965001</t>
  </si>
  <si>
    <t xml:space="preserve">YAINELYS DIAZ SALAZAR</t>
  </si>
  <si>
    <t xml:space="preserve">UAO 653831</t>
  </si>
  <si>
    <t xml:space="preserve">12/19/2025</t>
  </si>
  <si>
    <t xml:space="preserve">United bills this policy direct and pays AS COLLECTED, so June earns commission only on the premium United collected in June - more follows in later months. | </t>
  </si>
  <si>
    <t xml:space="preserve">United Auto|UAO653831</t>
  </si>
  <si>
    <t xml:space="preserve">CHRISTIAN O. CARBOT</t>
  </si>
  <si>
    <t xml:space="preserve">UAO 653867</t>
  </si>
  <si>
    <t xml:space="preserve">United Auto|UAO653867</t>
  </si>
  <si>
    <t xml:space="preserve">EDUARDO GOMES</t>
  </si>
  <si>
    <t xml:space="preserve">National General</t>
  </si>
  <si>
    <t xml:space="preserve">2023332936 - 04</t>
  </si>
  <si>
    <t xml:space="preserve">National General Commission Stmt 06/2026</t>
  </si>
  <si>
    <t xml:space="preserve">Renew 401.00 @ 10%; Endorsement 650.00 @ 10%; Endorsement -132.00 @ 10%</t>
  </si>
  <si>
    <t xml:space="preserve">National General|202333293604</t>
  </si>
  <si>
    <t xml:space="preserve">ARMANDO CARALOS</t>
  </si>
  <si>
    <t xml:space="preserve">2032597919</t>
  </si>
  <si>
    <t xml:space="preserve">12/9/2025</t>
  </si>
  <si>
    <t xml:space="preserve">12-month policy effective 12/9/2025; no June 2026 activity on the National General statement, so $0 is correct for this month.</t>
  </si>
  <si>
    <t xml:space="preserve">National General|2032597919</t>
  </si>
  <si>
    <t xml:space="preserve">EIGLYS M HERNANDEZ</t>
  </si>
  <si>
    <t xml:space="preserve">2023520770 - 04</t>
  </si>
  <si>
    <t xml:space="preserve">National General|202352077004</t>
  </si>
  <si>
    <t xml:space="preserve">JEFFREY B. PETIT-HOMME</t>
  </si>
  <si>
    <t xml:space="preserve">AmWins</t>
  </si>
  <si>
    <t xml:space="preserve">FFL01067788</t>
  </si>
  <si>
    <t xml:space="preserve">6/17/2026</t>
  </si>
  <si>
    <t xml:space="preserve">Amwins Specialty Auto Commission Stmt 06/2026</t>
  </si>
  <si>
    <t xml:space="preserve">AmWins|FFL1067788</t>
  </si>
  <si>
    <t xml:space="preserve">ANGELY GEJO</t>
  </si>
  <si>
    <t xml:space="preserve">FFL01008512</t>
  </si>
  <si>
    <t xml:space="preserve">6/29/2026</t>
  </si>
  <si>
    <t xml:space="preserve">AmWins|FFL1008512</t>
  </si>
  <si>
    <t xml:space="preserve">LUIS QUINONES SANCHEZ</t>
  </si>
  <si>
    <t xml:space="preserve">FFL01033783</t>
  </si>
  <si>
    <t xml:space="preserve">AmWins|FFL1033783</t>
  </si>
  <si>
    <t xml:space="preserve">LEVY DIAZ TORRES (no business name yet)</t>
  </si>
  <si>
    <t xml:space="preserve">Commercial Auto</t>
  </si>
  <si>
    <t xml:space="preserve">50028915301</t>
  </si>
  <si>
    <t xml:space="preserve">12/1/2025</t>
  </si>
  <si>
    <t xml:space="preserve">12-month policy effective 12/1/2025; no June 2026 activity on the Infinity statement, so $0 is correct for this month.</t>
  </si>
  <si>
    <t xml:space="preserve">Infinity|50028915301</t>
  </si>
  <si>
    <t xml:space="preserve">ELIZABETH MIRABAL HERNANDEZ (YSC LUXE BEAUTY)</t>
  </si>
  <si>
    <t xml:space="preserve">50029076701</t>
  </si>
  <si>
    <t xml:space="preserve">12/6/2025</t>
  </si>
  <si>
    <t xml:space="preserve">12-month policy effective 12/6/2025; no June 2026 activity on the Infinity statement, so $0 is correct for this month.</t>
  </si>
  <si>
    <t xml:space="preserve">Infinity|50029076701</t>
  </si>
  <si>
    <t xml:space="preserve">ANA MARIA ACOSTA</t>
  </si>
  <si>
    <t xml:space="preserve">10210540801</t>
  </si>
  <si>
    <t xml:space="preserve">12/7/2025</t>
  </si>
  <si>
    <t xml:space="preserve">12-month policy effective 12/7/2025; no June 2026 activity on the Infinity statement, so $0 is correct for this month.</t>
  </si>
  <si>
    <t xml:space="preserve">Infinity|10210540801</t>
  </si>
  <si>
    <t xml:space="preserve">MANUEL VERA</t>
  </si>
  <si>
    <t xml:space="preserve">10074082701</t>
  </si>
  <si>
    <t xml:space="preserve">Infinity|10074082701</t>
  </si>
  <si>
    <t xml:space="preserve">JAMES JOHN CIULLO</t>
  </si>
  <si>
    <t xml:space="preserve">10212418501</t>
  </si>
  <si>
    <t xml:space="preserve">12/23/2025</t>
  </si>
  <si>
    <t xml:space="preserve">12-month policy effective 12/23/2025; no June 2026 activity on the Infinity statement, so $0 is correct for this month.</t>
  </si>
  <si>
    <t xml:space="preserve">Infinity|10212418501</t>
  </si>
  <si>
    <t xml:space="preserve">RENEWALS SUBTOTAL</t>
  </si>
  <si>
    <t xml:space="preserve">JUNE BINDER SHEET TOTAL</t>
  </si>
  <si>
    <t xml:space="preserve">OTHER DORAL BOOK ACTIVITY  -  policies from the wider book with June statement activity</t>
  </si>
  <si>
    <t xml:space="preserve">IVAN D MOLINA LOZANO</t>
  </si>
  <si>
    <t xml:space="preserve">FEB 26</t>
  </si>
  <si>
    <t xml:space="preserve">Book activity</t>
  </si>
  <si>
    <t xml:space="preserve">862085078</t>
  </si>
  <si>
    <t xml:space="preserve">Endorsement 299.97 @ 10%</t>
  </si>
  <si>
    <t xml:space="preserve">GUILLERMO FAYAS RODRIGUEZ</t>
  </si>
  <si>
    <t xml:space="preserve">JULY 26</t>
  </si>
  <si>
    <t xml:space="preserve">867943703</t>
  </si>
  <si>
    <t xml:space="preserve">Renewal 1,794.00 @ 10%</t>
  </si>
  <si>
    <t xml:space="preserve">KATHERINE A FERNANDEZ</t>
  </si>
  <si>
    <t xml:space="preserve">869341373</t>
  </si>
  <si>
    <t xml:space="preserve">Cancel Pro Rate -592.29 @ 10%</t>
  </si>
  <si>
    <t xml:space="preserve">IVAN S FLORES JARAMILLO</t>
  </si>
  <si>
    <t xml:space="preserve">869745230</t>
  </si>
  <si>
    <t xml:space="preserve">Endorsement 0.00 @ 10%</t>
  </si>
  <si>
    <t xml:space="preserve">CAROL J SAFI</t>
  </si>
  <si>
    <t xml:space="preserve">data march</t>
  </si>
  <si>
    <t xml:space="preserve">871135598</t>
  </si>
  <si>
    <t xml:space="preserve">Credit Endorsement -133.12 @ 10%</t>
  </si>
  <si>
    <t xml:space="preserve">JUAN J ORTUNO</t>
  </si>
  <si>
    <t xml:space="preserve">871466655</t>
  </si>
  <si>
    <t xml:space="preserve">Credit Endorsement -26.08 @ 10%</t>
  </si>
  <si>
    <t xml:space="preserve">DAVID GUERRA</t>
  </si>
  <si>
    <t xml:space="preserve">data april</t>
  </si>
  <si>
    <t xml:space="preserve">872036378</t>
  </si>
  <si>
    <t xml:space="preserve">Cancel Pro Rate -736.55 @ 12%</t>
  </si>
  <si>
    <t xml:space="preserve">PAULINA GUERRERO</t>
  </si>
  <si>
    <t xml:space="preserve">872333790</t>
  </si>
  <si>
    <t xml:space="preserve">Cancel Pro Rate -579.30 @ 10%</t>
  </si>
  <si>
    <t xml:space="preserve">JOSE MICO I.</t>
  </si>
  <si>
    <t xml:space="preserve">872526456</t>
  </si>
  <si>
    <t xml:space="preserve">Endorsement 100.14 @ 10%; Cancel Pro Rate -1,413.68 @ 10%</t>
  </si>
  <si>
    <t xml:space="preserve">ROSS M LAZAREK</t>
  </si>
  <si>
    <t xml:space="preserve">873197162</t>
  </si>
  <si>
    <t xml:space="preserve">Credit Endorsement -33.64 @ 14%</t>
  </si>
  <si>
    <t xml:space="preserve">JOSE DIAZ</t>
  </si>
  <si>
    <t xml:space="preserve">data may</t>
  </si>
  <si>
    <t xml:space="preserve">874616317</t>
  </si>
  <si>
    <t xml:space="preserve">Cancel Pro Rate -744.72 @ 10%</t>
  </si>
  <si>
    <t xml:space="preserve">MELISSA A TAYLOR</t>
  </si>
  <si>
    <t xml:space="preserve">876394907</t>
  </si>
  <si>
    <t xml:space="preserve">Credit Endorsement -177.00 @ 12%; New Business 1,404.00 @ 12%</t>
  </si>
  <si>
    <t xml:space="preserve">ROBERT BANOS</t>
  </si>
  <si>
    <t xml:space="preserve">953015730</t>
  </si>
  <si>
    <t xml:space="preserve">Credit Endorsement -10.18 @ 10%; Endorsement 661.72 @ 10%; Credit Endorsement -920.76 @ 10%</t>
  </si>
  <si>
    <t xml:space="preserve">LUIS F NOVOA CORREAL</t>
  </si>
  <si>
    <t xml:space="preserve">956797303</t>
  </si>
  <si>
    <t xml:space="preserve">Credit Endorsement -547.00 @ 10%</t>
  </si>
  <si>
    <t xml:space="preserve">CARMEN BERMUDEZ</t>
  </si>
  <si>
    <t xml:space="preserve">JUNIO 25</t>
  </si>
  <si>
    <t xml:space="preserve">964451320</t>
  </si>
  <si>
    <t xml:space="preserve">Cancel Pro Rate -84.14 @ 10%</t>
  </si>
  <si>
    <t xml:space="preserve">SERGIO A  LOPEZ PINA</t>
  </si>
  <si>
    <t xml:space="preserve">968946712</t>
  </si>
  <si>
    <t xml:space="preserve">Credit Endorsement -256.32 @ 10%; Cancel Pro Rate -979.29 @ 10%</t>
  </si>
  <si>
    <t xml:space="preserve">LUIS CHACON PENA</t>
  </si>
  <si>
    <t xml:space="preserve">991253124</t>
  </si>
  <si>
    <t xml:space="preserve">Renewal 1,742.00 @ 10%</t>
  </si>
  <si>
    <t xml:space="preserve">SIMONE A COLLINS</t>
  </si>
  <si>
    <t xml:space="preserve">992229463</t>
  </si>
  <si>
    <t xml:space="preserve">Credit Endorsement -16.24 @ 10%</t>
  </si>
  <si>
    <t xml:space="preserve">SERKAN YILDIRIM</t>
  </si>
  <si>
    <t xml:space="preserve">993794329</t>
  </si>
  <si>
    <t xml:space="preserve">Cancel Pro Rate -240.61 @ 10%</t>
  </si>
  <si>
    <t xml:space="preserve">EMILEY BLOMBERG</t>
  </si>
  <si>
    <t xml:space="preserve">999745921</t>
  </si>
  <si>
    <t xml:space="preserve">Renewal 2,048.00 @ 10%</t>
  </si>
  <si>
    <t xml:space="preserve">RESUL TAS</t>
  </si>
  <si>
    <t xml:space="preserve">FEB 25</t>
  </si>
  <si>
    <t xml:space="preserve">10193915602</t>
  </si>
  <si>
    <t xml:space="preserve">New 361.00 @ 10%</t>
  </si>
  <si>
    <t xml:space="preserve">JUAN PEREZ ROY</t>
  </si>
  <si>
    <t xml:space="preserve">JULIO 25</t>
  </si>
  <si>
    <t xml:space="preserve">10213255201</t>
  </si>
  <si>
    <t xml:space="preserve">CnxFinal -2,950.00 @ 10%; CnxFinal -584.00 @ 10%</t>
  </si>
  <si>
    <t xml:space="preserve">SYLVESTER FRATER</t>
  </si>
  <si>
    <t xml:space="preserve">10239866201</t>
  </si>
  <si>
    <t xml:space="preserve">CnxFinal -460.00 @ 10%</t>
  </si>
  <si>
    <t xml:space="preserve">DIVYANI RAI</t>
  </si>
  <si>
    <t xml:space="preserve">10260538001</t>
  </si>
  <si>
    <t xml:space="preserve">ENDORSE -6.00 @ 10%; ENDORSE -44.00 @ 10%</t>
  </si>
  <si>
    <t xml:space="preserve">JABIERQUIS MENDOZA</t>
  </si>
  <si>
    <t xml:space="preserve">10260713001</t>
  </si>
  <si>
    <t xml:space="preserve">CnxFinal -698.00 @ 10%</t>
  </si>
  <si>
    <t xml:space="preserve">JORGE O RIVAS (STREN DISTRIBUTOR)</t>
  </si>
  <si>
    <t xml:space="preserve">50026396402</t>
  </si>
  <si>
    <t xml:space="preserve">CnxFinal -2,545.00 @ 10%</t>
  </si>
  <si>
    <t xml:space="preserve">VICTOR GARCIA BARRERAS</t>
  </si>
  <si>
    <t xml:space="preserve">UAD 602082206</t>
  </si>
  <si>
    <t xml:space="preserve">Comm as Collected 269.10 @ 10%</t>
  </si>
  <si>
    <t xml:space="preserve">TIMMIE ROZIER</t>
  </si>
  <si>
    <t xml:space="preserve">UAD 606159902</t>
  </si>
  <si>
    <t xml:space="preserve">Comm as Collected 178.90 @ 10%</t>
  </si>
  <si>
    <t xml:space="preserve">BIANCA R. BUZZIZ</t>
  </si>
  <si>
    <t xml:space="preserve">UAD 606715305</t>
  </si>
  <si>
    <t xml:space="preserve">Comm as Collected 212.90 @ 10%</t>
  </si>
  <si>
    <t xml:space="preserve">ORESTE CANIZARES GONZALEZ</t>
  </si>
  <si>
    <t xml:space="preserve">UAD 607888404</t>
  </si>
  <si>
    <t xml:space="preserve">Comm as Collected 202.20 @ 10%</t>
  </si>
  <si>
    <t xml:space="preserve">JOSE ANTONIO CRUZ PEREZ</t>
  </si>
  <si>
    <t xml:space="preserve">UAE 000217449</t>
  </si>
  <si>
    <t xml:space="preserve">Comm as Collected 420.70 @ 10%</t>
  </si>
  <si>
    <t xml:space="preserve">JUAN J PAYANO</t>
  </si>
  <si>
    <t xml:space="preserve">UAE 000225427</t>
  </si>
  <si>
    <t xml:space="preserve">Comm as Collected 190.60 @ 10%</t>
  </si>
  <si>
    <t xml:space="preserve">LUIS MARIO ORTUNO</t>
  </si>
  <si>
    <t xml:space="preserve">NOV 25</t>
  </si>
  <si>
    <t xml:space="preserve">UAE 000254009</t>
  </si>
  <si>
    <t xml:space="preserve">Comm as Collected 94.40 @ 10%</t>
  </si>
  <si>
    <t xml:space="preserve">KENOLD MERVEILLE</t>
  </si>
  <si>
    <t xml:space="preserve">UAE 000268427</t>
  </si>
  <si>
    <t xml:space="preserve">MIRLOUDE PETIT FRERE</t>
  </si>
  <si>
    <t xml:space="preserve">UAH 000518008</t>
  </si>
  <si>
    <t xml:space="preserve">Cancel (Prorate) -2,598.00 @ 10%</t>
  </si>
  <si>
    <t xml:space="preserve">TIMOTHY N. TOBEY</t>
  </si>
  <si>
    <t xml:space="preserve">UAH 045013701</t>
  </si>
  <si>
    <t xml:space="preserve">Comm as Collected 82.60 @ 10%</t>
  </si>
  <si>
    <t xml:space="preserve">MUSTAFA ACIKDENIZ</t>
  </si>
  <si>
    <t xml:space="preserve">ENER 26</t>
  </si>
  <si>
    <t xml:space="preserve">UAM 001471002</t>
  </si>
  <si>
    <t xml:space="preserve">Comm as Collected 158.80 @ 10%</t>
  </si>
  <si>
    <t xml:space="preserve">FABIAN JOSE PEREZ FLORES</t>
  </si>
  <si>
    <t xml:space="preserve">UAM 003007497</t>
  </si>
  <si>
    <t xml:space="preserve">EMMANUEL AGUDELO</t>
  </si>
  <si>
    <t xml:space="preserve">UAM 003009530</t>
  </si>
  <si>
    <t xml:space="preserve">Endorsement 0.00 @ 10%; Endorsement 0.00 @ 10%</t>
  </si>
  <si>
    <t xml:space="preserve">DARRELL JEROME HARTFIELD II</t>
  </si>
  <si>
    <t xml:space="preserve">UAO 000643023</t>
  </si>
  <si>
    <t xml:space="preserve">Comm as Collected 232.50 @ 10%</t>
  </si>
  <si>
    <t xml:space="preserve">OLYMAR C JIMENEZ RODRIGUEZ</t>
  </si>
  <si>
    <t xml:space="preserve">UAO 000663386</t>
  </si>
  <si>
    <t xml:space="preserve">Comm as Collected 146.80 @ 10%</t>
  </si>
  <si>
    <t xml:space="preserve">HECTOR G. PARRA SALCEDO</t>
  </si>
  <si>
    <t xml:space="preserve">UAO 000669121</t>
  </si>
  <si>
    <t xml:space="preserve">Comm as Collected 122.60 @ 10%</t>
  </si>
  <si>
    <t xml:space="preserve">NADINE SABY</t>
  </si>
  <si>
    <t xml:space="preserve">UAO 000678665</t>
  </si>
  <si>
    <t xml:space="preserve">Endorsement 18.00 @ 10%</t>
  </si>
  <si>
    <t xml:space="preserve">GIOVANNI A. RATTO</t>
  </si>
  <si>
    <t xml:space="preserve">UAO 000680102</t>
  </si>
  <si>
    <t xml:space="preserve">Endorsement -226.00 @ 10%; Endorsement 50.00 @ 10%; Endorsement -49.00 @ 10%</t>
  </si>
  <si>
    <t xml:space="preserve">LEEVAN C PIERRE-PIERRE</t>
  </si>
  <si>
    <t xml:space="preserve">UAO 000684300</t>
  </si>
  <si>
    <t xml:space="preserve">Endorsement 157.00 @ 10%</t>
  </si>
  <si>
    <t xml:space="preserve">CHARLIE HOZ</t>
  </si>
  <si>
    <t xml:space="preserve">UAO 000684549</t>
  </si>
  <si>
    <t xml:space="preserve">Cancel (Prorate) -3,162.00 @ 10%</t>
  </si>
  <si>
    <t xml:space="preserve">YOISLANDY GUTIERREZ PEREIRA</t>
  </si>
  <si>
    <t xml:space="preserve">UAO 000686009</t>
  </si>
  <si>
    <t xml:space="preserve">Endorsement 86.00 @ 10%</t>
  </si>
  <si>
    <t xml:space="preserve">GABRIELA LIRIANO</t>
  </si>
  <si>
    <t xml:space="preserve">UAO 000690043</t>
  </si>
  <si>
    <t xml:space="preserve">Endorsement 111.00 @ 10%; Cancel (Prorate) -2,869.00 @ 10%</t>
  </si>
  <si>
    <t xml:space="preserve">RAMON S. TORRES</t>
  </si>
  <si>
    <t xml:space="preserve">UAO 000690627</t>
  </si>
  <si>
    <t xml:space="preserve">Endorsement 0.00 @ 10%; Endorsement 37.00 @ 10%; Cancel (Prorate) -1,272.00 @ 10%</t>
  </si>
  <si>
    <t xml:space="preserve">BARBARA J HAUGHTON R.</t>
  </si>
  <si>
    <t xml:space="preserve">UAO 053588303</t>
  </si>
  <si>
    <t xml:space="preserve">Comm as Collected 192.00 @ 10%</t>
  </si>
  <si>
    <t xml:space="preserve">MICHEL PEREZ SOSA</t>
  </si>
  <si>
    <t xml:space="preserve">UAO 054889203</t>
  </si>
  <si>
    <t xml:space="preserve">Comm as Collected 193.00 @ 10%</t>
  </si>
  <si>
    <t xml:space="preserve">HANZEL HERNANDEZ SANCHEZ</t>
  </si>
  <si>
    <t xml:space="preserve">OCT 25</t>
  </si>
  <si>
    <t xml:space="preserve">UAO 054940301</t>
  </si>
  <si>
    <t xml:space="preserve">Comm as Collected 95.40 @ 10%</t>
  </si>
  <si>
    <t xml:space="preserve">BRIAN A. CHARLTON</t>
  </si>
  <si>
    <t xml:space="preserve">UAO 055195603</t>
  </si>
  <si>
    <t xml:space="preserve">Comm as Collected 54.10 @ 10%</t>
  </si>
  <si>
    <t xml:space="preserve">GINETTE JASMIN</t>
  </si>
  <si>
    <t xml:space="preserve">UAO 055303903</t>
  </si>
  <si>
    <t xml:space="preserve">Comm as Collected 116.40 @ 10%</t>
  </si>
  <si>
    <t xml:space="preserve">LIZ B. LOPEZ (done by Alberto)</t>
  </si>
  <si>
    <t xml:space="preserve">UAO 062029201</t>
  </si>
  <si>
    <t xml:space="preserve">Comm as Collected 177.30 @ 10%</t>
  </si>
  <si>
    <t xml:space="preserve">JAHMAR J JOHNSON</t>
  </si>
  <si>
    <t xml:space="preserve">P020109544801</t>
  </si>
  <si>
    <t xml:space="preserve">Cancellation -434.00 @ 13%; Uncollected Premium -28.42 @ 13%</t>
  </si>
  <si>
    <t xml:space="preserve">EVICSON CRESPO</t>
  </si>
  <si>
    <t xml:space="preserve">2021843298 04</t>
  </si>
  <si>
    <t xml:space="preserve">Endorsement -42.00 @ 10%</t>
  </si>
  <si>
    <t xml:space="preserve">MAKIYAH MOORE</t>
  </si>
  <si>
    <t xml:space="preserve">2022375481 04</t>
  </si>
  <si>
    <t xml:space="preserve">Endorsement 69.00 @ 10%</t>
  </si>
  <si>
    <t xml:space="preserve">ERGLYN ZAMBRANO</t>
  </si>
  <si>
    <t xml:space="preserve">SET 25</t>
  </si>
  <si>
    <t xml:space="preserve">2024704234 02</t>
  </si>
  <si>
    <t xml:space="preserve">Uncollected Premium -57.30 @ 10%</t>
  </si>
  <si>
    <t xml:space="preserve">DAYANA CANOVA</t>
  </si>
  <si>
    <t xml:space="preserve">2031162171 01</t>
  </si>
  <si>
    <t xml:space="preserve">Endorsement 4.00 @ 10%</t>
  </si>
  <si>
    <t xml:space="preserve">SINDY MOLINA</t>
  </si>
  <si>
    <t xml:space="preserve">2032132924 01</t>
  </si>
  <si>
    <t xml:space="preserve">Cancel -791.00 @ 10%</t>
  </si>
  <si>
    <t xml:space="preserve">KEVIN D. JIMENEZ AGUERO</t>
  </si>
  <si>
    <t xml:space="preserve">2033211242 00</t>
  </si>
  <si>
    <t xml:space="preserve">Endorsement 312.00 @ 10%</t>
  </si>
  <si>
    <t xml:space="preserve">CHRISTIAN RIVERO</t>
  </si>
  <si>
    <t xml:space="preserve">2035032222 00</t>
  </si>
  <si>
    <t xml:space="preserve">Cancel -1,517.00 @ 10%</t>
  </si>
  <si>
    <t xml:space="preserve">ANAIYA GRAHAM</t>
  </si>
  <si>
    <t xml:space="preserve">JULY 24</t>
  </si>
  <si>
    <t xml:space="preserve">FFL01036461</t>
  </si>
  <si>
    <t xml:space="preserve">Commission 0.65 @ 10%</t>
  </si>
  <si>
    <t xml:space="preserve">IRIS LOPEZ SANCHEZ</t>
  </si>
  <si>
    <t xml:space="preserve">geico</t>
  </si>
  <si>
    <t xml:space="preserve">Geico</t>
  </si>
  <si>
    <t xml:space="preserve">GEICO</t>
  </si>
  <si>
    <t xml:space="preserve">6219586788-442580316</t>
  </si>
  <si>
    <t xml:space="preserve">GEICO Commission Statement 06/2026</t>
  </si>
  <si>
    <t xml:space="preserve">Renewal Year Commission -402.75 @ 12%; Renewal Year Commission 21.21 @ 12%</t>
  </si>
  <si>
    <t xml:space="preserve">OTHER BOOK ACTIVITY SUBTOTAL</t>
  </si>
  <si>
    <t xml:space="preserve">STATEMENT ADJUSTMENTS &amp; FEES  -  every chargeback and fee the carriers apply outside the policy listing. Shaded rows could not be tied to a Doral client and are NOT counted.</t>
  </si>
  <si>
    <t xml:space="preserve">UW Reports fee FL - 23</t>
  </si>
  <si>
    <t xml:space="preserve">Adjustment</t>
  </si>
  <si>
    <t xml:space="preserve">Fee - UW Reports</t>
  </si>
  <si>
    <t xml:space="preserve">Agent 5517897</t>
  </si>
  <si>
    <t xml:space="preserve">06/30/2026</t>
  </si>
  <si>
    <t xml:space="preserve">NOT COUNTED - Agency-level fee - Kemper names no insured, so it cannot be attributed to the Doral book</t>
  </si>
  <si>
    <t xml:space="preserve">UW Reports fee FL - 90</t>
  </si>
  <si>
    <t xml:space="preserve">3% promotional incentive on June binder-sheet policies</t>
  </si>
  <si>
    <t xml:space="preserve">9 lines</t>
  </si>
  <si>
    <t xml:space="preserve">Promotional Incentive</t>
  </si>
  <si>
    <t xml:space="preserve">Agent 001-1D-100208</t>
  </si>
  <si>
    <t xml:space="preserve">06/30/26</t>
  </si>
  <si>
    <t xml:space="preserve">NOT COUNTED - United books its 3% incentive as an Adjustment (its statement shows 37 such lines netting $6.89 agency-wide). Excluded by instruction - this book is carried at 10% as collected. Every line is itemised on the Transaction Detail and Book Activity tabs.</t>
  </si>
  <si>
    <t xml:space="preserve">3% promotional incentive on wider Doral book policies</t>
  </si>
  <si>
    <t xml:space="preserve">23 lines</t>
  </si>
  <si>
    <t xml:space="preserve">JAHMAR JOHNSON</t>
  </si>
  <si>
    <t xml:space="preserve">MVR Cost</t>
  </si>
  <si>
    <t xml:space="preserve">Producer 6883</t>
  </si>
  <si>
    <t xml:space="preserve">06/22/2026</t>
  </si>
  <si>
    <t xml:space="preserve">Name abbreviated by Pearl; matched to Jahmar J Johnson, who is on this same statement</t>
  </si>
  <si>
    <t xml:space="preserve">MARTINEZ, L</t>
  </si>
  <si>
    <t xml:space="preserve">06/05/2026</t>
  </si>
  <si>
    <t xml:space="preserve">NOT COUNTED - Name abbreviated by Pearl - no confident Doral match</t>
  </si>
  <si>
    <t xml:space="preserve">JOSE ABREU</t>
  </si>
  <si>
    <t xml:space="preserve">Viol Hist Chargeback</t>
  </si>
  <si>
    <t xml:space="preserve">Quote 242804983</t>
  </si>
  <si>
    <t xml:space="preserve">4/9/2026</t>
  </si>
  <si>
    <t xml:space="preserve">Matched by name and quote number - this section carries no policy number</t>
  </si>
  <si>
    <t xml:space="preserve">Loss Hist Chargeback</t>
  </si>
  <si>
    <t xml:space="preserve">Quote 245836859</t>
  </si>
  <si>
    <t xml:space="preserve">4/28/2026</t>
  </si>
  <si>
    <t xml:space="preserve">FERNANDO RODRIGUEZ</t>
  </si>
  <si>
    <t xml:space="preserve">FEB 24</t>
  </si>
  <si>
    <t xml:space="preserve">Quote 242948950</t>
  </si>
  <si>
    <t xml:space="preserve">4/10/2026</t>
  </si>
  <si>
    <t xml:space="preserve">GAVONEEY Q. WILSON</t>
  </si>
  <si>
    <t xml:space="preserve">Quote 242639442</t>
  </si>
  <si>
    <t xml:space="preserve">4/8/2026</t>
  </si>
  <si>
    <t xml:space="preserve">JULIO OVIOL</t>
  </si>
  <si>
    <t xml:space="preserve">Quote 244079950</t>
  </si>
  <si>
    <t xml:space="preserve">4/17/2026</t>
  </si>
  <si>
    <t xml:space="preserve">KIMBERLY MUNIZ</t>
  </si>
  <si>
    <t xml:space="preserve">Quote 242985155</t>
  </si>
  <si>
    <t xml:space="preserve">LENIN PEREZ PEREZ</t>
  </si>
  <si>
    <t xml:space="preserve">Quote 246190349</t>
  </si>
  <si>
    <t xml:space="preserve">4/30/2026</t>
  </si>
  <si>
    <t xml:space="preserve">Quote 244094116</t>
  </si>
  <si>
    <t xml:space="preserve">Adrian Rodriguez</t>
  </si>
  <si>
    <t xml:space="preserve">Quote 242611771</t>
  </si>
  <si>
    <t xml:space="preserve">NOT COUNTED - Matched by name and quote number - this section carries no policy number</t>
  </si>
  <si>
    <t xml:space="preserve">Ailenys Arias Carvajal</t>
  </si>
  <si>
    <t xml:space="preserve">Quote 244530918</t>
  </si>
  <si>
    <t xml:space="preserve">4/20/2026</t>
  </si>
  <si>
    <t xml:space="preserve">Frank Sanchez</t>
  </si>
  <si>
    <t xml:space="preserve">Quote 244711258</t>
  </si>
  <si>
    <t xml:space="preserve">4/21/2026</t>
  </si>
  <si>
    <t xml:space="preserve">Fuenteseca Mendoza</t>
  </si>
  <si>
    <t xml:space="preserve">Quote 244645018</t>
  </si>
  <si>
    <t xml:space="preserve">Geovani Linares Bullock</t>
  </si>
  <si>
    <t xml:space="preserve">Quote 243273817</t>
  </si>
  <si>
    <t xml:space="preserve">4/13/2026</t>
  </si>
  <si>
    <t xml:space="preserve">Johnny Virreira</t>
  </si>
  <si>
    <t xml:space="preserve">Quote 242852157</t>
  </si>
  <si>
    <t xml:space="preserve">Jonathan Morales</t>
  </si>
  <si>
    <t xml:space="preserve">Quote 245802732</t>
  </si>
  <si>
    <t xml:space="preserve">Limonte Perez</t>
  </si>
  <si>
    <t xml:space="preserve">Marilyn Selman</t>
  </si>
  <si>
    <t xml:space="preserve">Quote 245192879</t>
  </si>
  <si>
    <t xml:space="preserve">4/24/2026</t>
  </si>
  <si>
    <t xml:space="preserve">Raul Fuenteseca Mendoza</t>
  </si>
  <si>
    <t xml:space="preserve">Zaylin Cruz Hernandez</t>
  </si>
  <si>
    <t xml:space="preserve">Quote 241773244</t>
  </si>
  <si>
    <t xml:space="preserve">4/2/2026</t>
  </si>
  <si>
    <t xml:space="preserve">ADJUSTMENTS SUBTOTAL</t>
  </si>
  <si>
    <t xml:space="preserve">Column N is every adjustment on the statements; column O is the part tied to a Doral client, which is what carries into the total below.</t>
  </si>
  <si>
    <t xml:space="preserve">TOTAL DORAL JUNE COMMISSION</t>
  </si>
  <si>
    <t xml:space="preserve">June binder sheet + other Doral book activity + Doral-attributable statement adjustments.</t>
  </si>
  <si>
    <t xml:space="preserve">Match Key</t>
  </si>
  <si>
    <t xml:space="preserve">Commission Statement</t>
  </si>
  <si>
    <t xml:space="preserve">Statement Policy #</t>
  </si>
  <si>
    <t xml:space="preserve">Insured Name (per statement)</t>
  </si>
  <si>
    <t xml:space="preserve">Transaction Type</t>
  </si>
  <si>
    <t xml:space="preserve">Transaction Date</t>
  </si>
  <si>
    <t xml:space="preserve">Written / Gross Premium</t>
  </si>
  <si>
    <t xml:space="preserve">Commissionable Basis</t>
  </si>
  <si>
    <t xml:space="preserve">Commission per Statement</t>
  </si>
  <si>
    <t xml:space="preserve">Check: Basis x Rate</t>
  </si>
  <si>
    <t xml:space="preserve">Diff</t>
  </si>
  <si>
    <t xml:space="preserve">Premium Counted in Summary</t>
  </si>
  <si>
    <t xml:space="preserve">Commission Counted in Summary</t>
  </si>
  <si>
    <t xml:space="preserve">In Doral Binder Book?</t>
  </si>
  <si>
    <t xml:space="preserve">Binder Customer Name</t>
  </si>
  <si>
    <t xml:space="preserve">COLLADO A.</t>
  </si>
  <si>
    <t xml:space="preserve">06/07/2026</t>
  </si>
  <si>
    <t xml:space="preserve">YES</t>
  </si>
  <si>
    <t xml:space="preserve">Credit Endorsement</t>
  </si>
  <si>
    <t xml:space="preserve">06/10/2026</t>
  </si>
  <si>
    <t xml:space="preserve">GOMEZ OROZCO M.</t>
  </si>
  <si>
    <t xml:space="preserve">06/08/2026</t>
  </si>
  <si>
    <t xml:space="preserve">ABREU N.</t>
  </si>
  <si>
    <t xml:space="preserve">06/06/2026</t>
  </si>
  <si>
    <t xml:space="preserve">TORRES ARTOL E.</t>
  </si>
  <si>
    <t xml:space="preserve">06/15/2026</t>
  </si>
  <si>
    <t xml:space="preserve">SANTANA GUER N.</t>
  </si>
  <si>
    <t xml:space="preserve">06/16/2026</t>
  </si>
  <si>
    <t xml:space="preserve">LAMOTHE J.</t>
  </si>
  <si>
    <t xml:space="preserve">06/20/2026</t>
  </si>
  <si>
    <t xml:space="preserve">QUIROZ G.</t>
  </si>
  <si>
    <t xml:space="preserve">RAMIREZ J.</t>
  </si>
  <si>
    <t xml:space="preserve">JONES J.</t>
  </si>
  <si>
    <t xml:space="preserve">06/12/2026</t>
  </si>
  <si>
    <t xml:space="preserve">CADENAS Y.</t>
  </si>
  <si>
    <t xml:space="preserve">06/13/2026</t>
  </si>
  <si>
    <t xml:space="preserve">ALONSO MARTI Y.</t>
  </si>
  <si>
    <t xml:space="preserve">PATTERSON A.</t>
  </si>
  <si>
    <t xml:space="preserve">COSME C.</t>
  </si>
  <si>
    <t xml:space="preserve">06/23/2026</t>
  </si>
  <si>
    <t xml:space="preserve">TABOADA C.</t>
  </si>
  <si>
    <t xml:space="preserve">06/26/2026</t>
  </si>
  <si>
    <t xml:space="preserve">IRISH B.</t>
  </si>
  <si>
    <t xml:space="preserve">06/28/2026</t>
  </si>
  <si>
    <t xml:space="preserve">AGUIRRE MARI J.</t>
  </si>
  <si>
    <t xml:space="preserve">06/11/2026</t>
  </si>
  <si>
    <t xml:space="preserve">ALVAREZ A.</t>
  </si>
  <si>
    <t xml:space="preserve">RODRIGUEZ Y.</t>
  </si>
  <si>
    <t xml:space="preserve">BARROSO C.</t>
  </si>
  <si>
    <t xml:space="preserve">06/18/2026</t>
  </si>
  <si>
    <t xml:space="preserve">QUINTO RIBON C.</t>
  </si>
  <si>
    <t xml:space="preserve">06/14/2026</t>
  </si>
  <si>
    <t xml:space="preserve">LOPEZ S.</t>
  </si>
  <si>
    <t xml:space="preserve">ALFONSO G.</t>
  </si>
  <si>
    <t xml:space="preserve">COLLADO I.</t>
  </si>
  <si>
    <t xml:space="preserve">ACIKDENIZ Y.</t>
  </si>
  <si>
    <t xml:space="preserve">06/21/2026</t>
  </si>
  <si>
    <t xml:space="preserve">DELGADO PERE E.</t>
  </si>
  <si>
    <t xml:space="preserve">WALTERS N.</t>
  </si>
  <si>
    <t xml:space="preserve">CRUZ E.</t>
  </si>
  <si>
    <t xml:space="preserve">RUIZ ABELLA A.</t>
  </si>
  <si>
    <t xml:space="preserve">PEREZ J.</t>
  </si>
  <si>
    <t xml:space="preserve">Progressive|1209267</t>
  </si>
  <si>
    <t xml:space="preserve">01209267</t>
  </si>
  <si>
    <t xml:space="preserve">EXPERT REMO  .</t>
  </si>
  <si>
    <t xml:space="preserve">Endorsement</t>
  </si>
  <si>
    <t xml:space="preserve">No</t>
  </si>
  <si>
    <t xml:space="preserve">Progressive|862046493</t>
  </si>
  <si>
    <t xml:space="preserve">862046493</t>
  </si>
  <si>
    <t xml:space="preserve">BERMUDEZ V.</t>
  </si>
  <si>
    <t xml:space="preserve">Progressive|862085078</t>
  </si>
  <si>
    <t xml:space="preserve">MOLINA LOZAN I.</t>
  </si>
  <si>
    <t xml:space="preserve">Progressive|864173304</t>
  </si>
  <si>
    <t xml:space="preserve">864173304</t>
  </si>
  <si>
    <t xml:space="preserve">ATIAS O.</t>
  </si>
  <si>
    <t xml:space="preserve">Progressive|866455034</t>
  </si>
  <si>
    <t xml:space="preserve">866455034</t>
  </si>
  <si>
    <t xml:space="preserve">BRAVO FLORES A.</t>
  </si>
  <si>
    <t xml:space="preserve">Progressive|866544932</t>
  </si>
  <si>
    <t xml:space="preserve">866544932</t>
  </si>
  <si>
    <t xml:space="preserve">ZALDIVAR V.</t>
  </si>
  <si>
    <t xml:space="preserve">Progressive|866921710</t>
  </si>
  <si>
    <t xml:space="preserve">866921710</t>
  </si>
  <si>
    <t xml:space="preserve">PEREZ H.</t>
  </si>
  <si>
    <t xml:space="preserve">Progressive|866944927</t>
  </si>
  <si>
    <t xml:space="preserve">866944927</t>
  </si>
  <si>
    <t xml:space="preserve">DA SILVA D.</t>
  </si>
  <si>
    <t xml:space="preserve">Progressive|866989409</t>
  </si>
  <si>
    <t xml:space="preserve">866989409</t>
  </si>
  <si>
    <t xml:space="preserve">ACOBO M.</t>
  </si>
  <si>
    <t xml:space="preserve">Progressive|867082146</t>
  </si>
  <si>
    <t xml:space="preserve">867082146</t>
  </si>
  <si>
    <t xml:space="preserve">RIVERA M.</t>
  </si>
  <si>
    <t xml:space="preserve">Progressive|867301131</t>
  </si>
  <si>
    <t xml:space="preserve">867301131</t>
  </si>
  <si>
    <t xml:space="preserve">RICHARDS L.</t>
  </si>
  <si>
    <t xml:space="preserve">Progressive|867412033</t>
  </si>
  <si>
    <t xml:space="preserve">867412033</t>
  </si>
  <si>
    <t xml:space="preserve">GREEN K.</t>
  </si>
  <si>
    <t xml:space="preserve">06/27/2026</t>
  </si>
  <si>
    <t xml:space="preserve">Progressive|867419591</t>
  </si>
  <si>
    <t xml:space="preserve">867419591</t>
  </si>
  <si>
    <t xml:space="preserve">Lorenzo Y.</t>
  </si>
  <si>
    <t xml:space="preserve">Cancel Pro Rate</t>
  </si>
  <si>
    <t xml:space="preserve">Progressive|867570775</t>
  </si>
  <si>
    <t xml:space="preserve">867570775</t>
  </si>
  <si>
    <t xml:space="preserve">TAMAYO LA O G.</t>
  </si>
  <si>
    <t xml:space="preserve">Progressive|867886789</t>
  </si>
  <si>
    <t xml:space="preserve">867886789</t>
  </si>
  <si>
    <t xml:space="preserve">Denman M.</t>
  </si>
  <si>
    <t xml:space="preserve">06/29/2026</t>
  </si>
  <si>
    <t xml:space="preserve">Progressive|867943703</t>
  </si>
  <si>
    <t xml:space="preserve">FAYAS RODRIG G.</t>
  </si>
  <si>
    <t xml:space="preserve">07/08/2026</t>
  </si>
  <si>
    <t xml:space="preserve">Progressive|868048995</t>
  </si>
  <si>
    <t xml:space="preserve">868048995</t>
  </si>
  <si>
    <t xml:space="preserve">DIBU A.</t>
  </si>
  <si>
    <t xml:space="preserve">07/10/2026</t>
  </si>
  <si>
    <t xml:space="preserve">Progressive|868160525</t>
  </si>
  <si>
    <t xml:space="preserve">868160525</t>
  </si>
  <si>
    <t xml:space="preserve">Weiss E.</t>
  </si>
  <si>
    <t xml:space="preserve">Progressive|868442629</t>
  </si>
  <si>
    <t xml:space="preserve">868442629</t>
  </si>
  <si>
    <t xml:space="preserve">Regalado A.</t>
  </si>
  <si>
    <t xml:space="preserve">Progressive|868553556</t>
  </si>
  <si>
    <t xml:space="preserve">868553556</t>
  </si>
  <si>
    <t xml:space="preserve">CAIRONE R.</t>
  </si>
  <si>
    <t xml:space="preserve">Progressive|869341373</t>
  </si>
  <si>
    <t xml:space="preserve">FERNANDEZ K.</t>
  </si>
  <si>
    <t xml:space="preserve">Progressive|869683521</t>
  </si>
  <si>
    <t xml:space="preserve">869683521</t>
  </si>
  <si>
    <t xml:space="preserve">DiPietro N.</t>
  </si>
  <si>
    <t xml:space="preserve">Progressive|869745230</t>
  </si>
  <si>
    <t xml:space="preserve">FLORES JARAM I.</t>
  </si>
  <si>
    <t xml:space="preserve">Progressive|869891929</t>
  </si>
  <si>
    <t xml:space="preserve">869891929</t>
  </si>
  <si>
    <t xml:space="preserve">POLANCO E.</t>
  </si>
  <si>
    <t xml:space="preserve">Progressive|870491158</t>
  </si>
  <si>
    <t xml:space="preserve">870491158</t>
  </si>
  <si>
    <t xml:space="preserve">SMART PHONE  .</t>
  </si>
  <si>
    <t xml:space="preserve">03/02/2026</t>
  </si>
  <si>
    <t xml:space="preserve">Progressive|871135598</t>
  </si>
  <si>
    <t xml:space="preserve">SAFI C.</t>
  </si>
  <si>
    <t xml:space="preserve">06/09/2026</t>
  </si>
  <si>
    <t xml:space="preserve">Progressive|871466655</t>
  </si>
  <si>
    <t xml:space="preserve">ORTUNO J.</t>
  </si>
  <si>
    <t xml:space="preserve">Progressive|871490991</t>
  </si>
  <si>
    <t xml:space="preserve">871490991</t>
  </si>
  <si>
    <t xml:space="preserve">BAHAMONDE C.</t>
  </si>
  <si>
    <t xml:space="preserve">Progressive|871853308</t>
  </si>
  <si>
    <t xml:space="preserve">871853308</t>
  </si>
  <si>
    <t xml:space="preserve">Delli-Colli M.</t>
  </si>
  <si>
    <t xml:space="preserve">06/19/2026</t>
  </si>
  <si>
    <t xml:space="preserve">Reinstatement</t>
  </si>
  <si>
    <t xml:space="preserve">Progressive|872036378</t>
  </si>
  <si>
    <t xml:space="preserve">GUERRA D.</t>
  </si>
  <si>
    <t xml:space="preserve">Progressive|872138800</t>
  </si>
  <si>
    <t xml:space="preserve">872138800</t>
  </si>
  <si>
    <t xml:space="preserve">Hossain A.</t>
  </si>
  <si>
    <t xml:space="preserve">Progressive|872333790</t>
  </si>
  <si>
    <t xml:space="preserve">GUERRERO P.</t>
  </si>
  <si>
    <t xml:space="preserve">Progressive|872355153</t>
  </si>
  <si>
    <t xml:space="preserve">872355153</t>
  </si>
  <si>
    <t xml:space="preserve">CHAHINE B.</t>
  </si>
  <si>
    <t xml:space="preserve">04/20/2026</t>
  </si>
  <si>
    <t xml:space="preserve">05/07/2026</t>
  </si>
  <si>
    <t xml:space="preserve">05/24/2026</t>
  </si>
  <si>
    <t xml:space="preserve">Chahine B.</t>
  </si>
  <si>
    <t xml:space="preserve">07/03/2026</t>
  </si>
  <si>
    <t xml:space="preserve">Progressive|872526456</t>
  </si>
  <si>
    <t xml:space="preserve">MICO IZQUIER J.</t>
  </si>
  <si>
    <t xml:space="preserve">07/01/2026</t>
  </si>
  <si>
    <t xml:space="preserve">Progressive|872587763</t>
  </si>
  <si>
    <t xml:space="preserve">872587763</t>
  </si>
  <si>
    <t xml:space="preserve">ROHR F.</t>
  </si>
  <si>
    <t xml:space="preserve">Progressive|872593443</t>
  </si>
  <si>
    <t xml:space="preserve">872593443</t>
  </si>
  <si>
    <t xml:space="preserve">Sciortino L.</t>
  </si>
  <si>
    <t xml:space="preserve">Progressive|872819925</t>
  </si>
  <si>
    <t xml:space="preserve">872819925</t>
  </si>
  <si>
    <t xml:space="preserve">OLUPONA B.</t>
  </si>
  <si>
    <t xml:space="preserve">06/24/2026</t>
  </si>
  <si>
    <t xml:space="preserve">Progressive|872841443</t>
  </si>
  <si>
    <t xml:space="preserve">872841443</t>
  </si>
  <si>
    <t xml:space="preserve">GIL BARTUREN M.</t>
  </si>
  <si>
    <t xml:space="preserve">04/17/2026</t>
  </si>
  <si>
    <t xml:space="preserve">06/01/2026</t>
  </si>
  <si>
    <t xml:space="preserve">Progressive|872916061</t>
  </si>
  <si>
    <t xml:space="preserve">872916061</t>
  </si>
  <si>
    <t xml:space="preserve">RODRIGUEZ L.</t>
  </si>
  <si>
    <t xml:space="preserve">06/04/2026</t>
  </si>
  <si>
    <t xml:space="preserve">Progressive|873075106</t>
  </si>
  <si>
    <t xml:space="preserve">873075106</t>
  </si>
  <si>
    <t xml:space="preserve">STUDSTILL J.</t>
  </si>
  <si>
    <t xml:space="preserve">Progressive|873197162</t>
  </si>
  <si>
    <t xml:space="preserve">LAZAREK R.</t>
  </si>
  <si>
    <t xml:space="preserve">Progressive|873317751</t>
  </si>
  <si>
    <t xml:space="preserve">873317751</t>
  </si>
  <si>
    <t xml:space="preserve">MAMIKONYAN A.</t>
  </si>
  <si>
    <t xml:space="preserve">04/27/2026</t>
  </si>
  <si>
    <t xml:space="preserve">Progressive|873356418</t>
  </si>
  <si>
    <t xml:space="preserve">873356418</t>
  </si>
  <si>
    <t xml:space="preserve">SAMAD R.</t>
  </si>
  <si>
    <t xml:space="preserve">Progressive|873367580</t>
  </si>
  <si>
    <t xml:space="preserve">873367580</t>
  </si>
  <si>
    <t xml:space="preserve">RAZAFIKELY J.</t>
  </si>
  <si>
    <t xml:space="preserve">04/28/2026</t>
  </si>
  <si>
    <t xml:space="preserve">Progressive|873429938</t>
  </si>
  <si>
    <t xml:space="preserve">873429938</t>
  </si>
  <si>
    <t xml:space="preserve">SELMAN M.</t>
  </si>
  <si>
    <t xml:space="preserve">Progressive|873673607</t>
  </si>
  <si>
    <t xml:space="preserve">873673607</t>
  </si>
  <si>
    <t xml:space="preserve">BALLON C.</t>
  </si>
  <si>
    <t xml:space="preserve">Progressive|873674755</t>
  </si>
  <si>
    <t xml:space="preserve">873674755</t>
  </si>
  <si>
    <t xml:space="preserve">ESTEVEZ TAMA R.</t>
  </si>
  <si>
    <t xml:space="preserve">05/04/2026</t>
  </si>
  <si>
    <t xml:space="preserve">Progressive|873713914</t>
  </si>
  <si>
    <t xml:space="preserve">873713914</t>
  </si>
  <si>
    <t xml:space="preserve">VILUS J.</t>
  </si>
  <si>
    <t xml:space="preserve">05/05/2026</t>
  </si>
  <si>
    <t xml:space="preserve">Progressive|873879179</t>
  </si>
  <si>
    <t xml:space="preserve">873879179</t>
  </si>
  <si>
    <t xml:space="preserve">SIMMONDS P.</t>
  </si>
  <si>
    <t xml:space="preserve">Progressive|873930556</t>
  </si>
  <si>
    <t xml:space="preserve">873930556</t>
  </si>
  <si>
    <t xml:space="preserve">BALLESTEROS C.</t>
  </si>
  <si>
    <t xml:space="preserve">Progressive|874092322</t>
  </si>
  <si>
    <t xml:space="preserve">874092322</t>
  </si>
  <si>
    <t xml:space="preserve">SHORTY M.</t>
  </si>
  <si>
    <t xml:space="preserve">Progressive|874159421</t>
  </si>
  <si>
    <t xml:space="preserve">874159421</t>
  </si>
  <si>
    <t xml:space="preserve">PIEDISCALZI Z.</t>
  </si>
  <si>
    <t xml:space="preserve">Progressive|874281246</t>
  </si>
  <si>
    <t xml:space="preserve">874281246</t>
  </si>
  <si>
    <t xml:space="preserve">ALVES J.</t>
  </si>
  <si>
    <t xml:space="preserve">Progressive|874616317</t>
  </si>
  <si>
    <t xml:space="preserve">DIAZ J.</t>
  </si>
  <si>
    <t xml:space="preserve">05/27/2026</t>
  </si>
  <si>
    <t xml:space="preserve">Progressive|874775238</t>
  </si>
  <si>
    <t xml:space="preserve">874775238</t>
  </si>
  <si>
    <t xml:space="preserve">JACOBS J.</t>
  </si>
  <si>
    <t xml:space="preserve">05/28/2026</t>
  </si>
  <si>
    <t xml:space="preserve">Jacobs J.</t>
  </si>
  <si>
    <t xml:space="preserve">06/25/2026</t>
  </si>
  <si>
    <t xml:space="preserve">Progressive|875244538</t>
  </si>
  <si>
    <t xml:space="preserve">875244538</t>
  </si>
  <si>
    <t xml:space="preserve">HEJEILE K.</t>
  </si>
  <si>
    <t xml:space="preserve">Progressive|875293232</t>
  </si>
  <si>
    <t xml:space="preserve">875293232</t>
  </si>
  <si>
    <t xml:space="preserve">GEDIGIAN E.</t>
  </si>
  <si>
    <t xml:space="preserve">Progressive|875457519</t>
  </si>
  <si>
    <t xml:space="preserve">875457519</t>
  </si>
  <si>
    <t xml:space="preserve">HETHERINGTON K.</t>
  </si>
  <si>
    <t xml:space="preserve">Progressive|875461556</t>
  </si>
  <si>
    <t xml:space="preserve">875461556</t>
  </si>
  <si>
    <t xml:space="preserve">LUXURY AUTO  .</t>
  </si>
  <si>
    <t xml:space="preserve">Progressive|875564058</t>
  </si>
  <si>
    <t xml:space="preserve">875564058</t>
  </si>
  <si>
    <t xml:space="preserve">DE NOTO D.</t>
  </si>
  <si>
    <t xml:space="preserve">Progressive|875582763</t>
  </si>
  <si>
    <t xml:space="preserve">875582763</t>
  </si>
  <si>
    <t xml:space="preserve">MULLA S.</t>
  </si>
  <si>
    <t xml:space="preserve">Mulla S.</t>
  </si>
  <si>
    <t xml:space="preserve">Progressive|875663244</t>
  </si>
  <si>
    <t xml:space="preserve">875663244</t>
  </si>
  <si>
    <t xml:space="preserve">06/17/2026</t>
  </si>
  <si>
    <t xml:space="preserve">Progressive|875882026</t>
  </si>
  <si>
    <t xml:space="preserve">875882026</t>
  </si>
  <si>
    <t xml:space="preserve">DENOTO C.</t>
  </si>
  <si>
    <t xml:space="preserve">Progressive|875883644</t>
  </si>
  <si>
    <t xml:space="preserve">875883644</t>
  </si>
  <si>
    <t xml:space="preserve">LATOUR J.</t>
  </si>
  <si>
    <t xml:space="preserve">Latour J.</t>
  </si>
  <si>
    <t xml:space="preserve">Progressive|875885204</t>
  </si>
  <si>
    <t xml:space="preserve">875885204</t>
  </si>
  <si>
    <t xml:space="preserve">PENA M.</t>
  </si>
  <si>
    <t xml:space="preserve">Progressive|875885651</t>
  </si>
  <si>
    <t xml:space="preserve">875885651</t>
  </si>
  <si>
    <t xml:space="preserve">VELADO I.</t>
  </si>
  <si>
    <t xml:space="preserve">Progressive|875937865</t>
  </si>
  <si>
    <t xml:space="preserve">875937865</t>
  </si>
  <si>
    <t xml:space="preserve">SANCHEZ B.</t>
  </si>
  <si>
    <t xml:space="preserve">Progressive|875959361</t>
  </si>
  <si>
    <t xml:space="preserve">875959361</t>
  </si>
  <si>
    <t xml:space="preserve">LEVY H.</t>
  </si>
  <si>
    <t xml:space="preserve">Progressive|875990791</t>
  </si>
  <si>
    <t xml:space="preserve">875990791</t>
  </si>
  <si>
    <t xml:space="preserve">JOGALEKAR A.</t>
  </si>
  <si>
    <t xml:space="preserve">Progressive|876093782</t>
  </si>
  <si>
    <t xml:space="preserve">876093782</t>
  </si>
  <si>
    <t xml:space="preserve">WALKER P.</t>
  </si>
  <si>
    <t xml:space="preserve">Progressive|876266070</t>
  </si>
  <si>
    <t xml:space="preserve">876266070</t>
  </si>
  <si>
    <t xml:space="preserve">GRANT J.</t>
  </si>
  <si>
    <t xml:space="preserve">07/02/2026</t>
  </si>
  <si>
    <t xml:space="preserve">Progressive|876286758</t>
  </si>
  <si>
    <t xml:space="preserve">876286758</t>
  </si>
  <si>
    <t xml:space="preserve">CHONG A.</t>
  </si>
  <si>
    <t xml:space="preserve">Progressive|876330803</t>
  </si>
  <si>
    <t xml:space="preserve">876330803</t>
  </si>
  <si>
    <t xml:space="preserve">BAILEY-WATSO T.</t>
  </si>
  <si>
    <t xml:space="preserve">Progressive|876344456</t>
  </si>
  <si>
    <t xml:space="preserve">876344456</t>
  </si>
  <si>
    <t xml:space="preserve">SURTAIN M.</t>
  </si>
  <si>
    <t xml:space="preserve">Progressive|876394907</t>
  </si>
  <si>
    <t xml:space="preserve">TAYLOR M.</t>
  </si>
  <si>
    <t xml:space="preserve">Progressive|930764661</t>
  </si>
  <si>
    <t xml:space="preserve">930764661</t>
  </si>
  <si>
    <t xml:space="preserve">LEVEILLEE R.</t>
  </si>
  <si>
    <t xml:space="preserve">Progressive|930765132</t>
  </si>
  <si>
    <t xml:space="preserve">930765132</t>
  </si>
  <si>
    <t xml:space="preserve">Progressive|934715363</t>
  </si>
  <si>
    <t xml:space="preserve">934715363</t>
  </si>
  <si>
    <t xml:space="preserve">CHACON G.</t>
  </si>
  <si>
    <t xml:space="preserve">Progressive|939283178</t>
  </si>
  <si>
    <t xml:space="preserve">939283178</t>
  </si>
  <si>
    <t xml:space="preserve">RIVERA W.</t>
  </si>
  <si>
    <t xml:space="preserve">Progressive|944846183</t>
  </si>
  <si>
    <t xml:space="preserve">944846183</t>
  </si>
  <si>
    <t xml:space="preserve">REICES B.</t>
  </si>
  <si>
    <t xml:space="preserve">Progressive|950263145</t>
  </si>
  <si>
    <t xml:space="preserve">950263145</t>
  </si>
  <si>
    <t xml:space="preserve">MARRERO M.</t>
  </si>
  <si>
    <t xml:space="preserve">Progressive|950386550</t>
  </si>
  <si>
    <t xml:space="preserve">950386550</t>
  </si>
  <si>
    <t xml:space="preserve">VALIENTE M.</t>
  </si>
  <si>
    <t xml:space="preserve">Progressive|951679078</t>
  </si>
  <si>
    <t xml:space="preserve">951679078</t>
  </si>
  <si>
    <t xml:space="preserve">WALKER G.</t>
  </si>
  <si>
    <t xml:space="preserve">Progressive|953015730</t>
  </si>
  <si>
    <t xml:space="preserve">BANOS R.</t>
  </si>
  <si>
    <t xml:space="preserve">Progressive|956797303</t>
  </si>
  <si>
    <t xml:space="preserve">NOVOA CORREA L.</t>
  </si>
  <si>
    <t xml:space="preserve">03/19/2026</t>
  </si>
  <si>
    <t xml:space="preserve">Progressive|958992678</t>
  </si>
  <si>
    <t xml:space="preserve">958992678</t>
  </si>
  <si>
    <t xml:space="preserve">SOMAVILLA J.</t>
  </si>
  <si>
    <t xml:space="preserve">Progressive|964451320</t>
  </si>
  <si>
    <t xml:space="preserve">BERMUDEZ C.</t>
  </si>
  <si>
    <t xml:space="preserve">Progressive|966926759</t>
  </si>
  <si>
    <t xml:space="preserve">966926759</t>
  </si>
  <si>
    <t xml:space="preserve">YU H.</t>
  </si>
  <si>
    <t xml:space="preserve">Progressive|967051439</t>
  </si>
  <si>
    <t xml:space="preserve">967051439</t>
  </si>
  <si>
    <t xml:space="preserve">ZAMORA J.</t>
  </si>
  <si>
    <t xml:space="preserve">Progressive|968946712</t>
  </si>
  <si>
    <t xml:space="preserve">LOPEZ PINA S.</t>
  </si>
  <si>
    <t xml:space="preserve">Progressive|970671634</t>
  </si>
  <si>
    <t xml:space="preserve">970671634</t>
  </si>
  <si>
    <t xml:space="preserve">OCEANIC 1 C  .</t>
  </si>
  <si>
    <t xml:space="preserve">Progressive|977030091</t>
  </si>
  <si>
    <t xml:space="preserve">977030091</t>
  </si>
  <si>
    <t xml:space="preserve">PRADA Y.</t>
  </si>
  <si>
    <t xml:space="preserve">Progressive|978572988</t>
  </si>
  <si>
    <t xml:space="preserve">978572988</t>
  </si>
  <si>
    <t xml:space="preserve">OROPEZA A.</t>
  </si>
  <si>
    <t xml:space="preserve">Progressive|978935597</t>
  </si>
  <si>
    <t xml:space="preserve">978935597</t>
  </si>
  <si>
    <t xml:space="preserve">BENITEZ F.</t>
  </si>
  <si>
    <t xml:space="preserve">Progressive|979556114</t>
  </si>
  <si>
    <t xml:space="preserve">979556114</t>
  </si>
  <si>
    <t xml:space="preserve">ALL IN SPEC  .</t>
  </si>
  <si>
    <t xml:space="preserve">Progressive|983334721</t>
  </si>
  <si>
    <t xml:space="preserve">983334721</t>
  </si>
  <si>
    <t xml:space="preserve">PILLINER S.</t>
  </si>
  <si>
    <t xml:space="preserve">Progressive|985048083</t>
  </si>
  <si>
    <t xml:space="preserve">985048083</t>
  </si>
  <si>
    <t xml:space="preserve">Boodoosingh P.</t>
  </si>
  <si>
    <t xml:space="preserve">Progressive|990901393</t>
  </si>
  <si>
    <t xml:space="preserve">990901393</t>
  </si>
  <si>
    <t xml:space="preserve">DROR A.</t>
  </si>
  <si>
    <t xml:space="preserve">Progressive|990986490</t>
  </si>
  <si>
    <t xml:space="preserve">990986490</t>
  </si>
  <si>
    <t xml:space="preserve">LEVIN L.</t>
  </si>
  <si>
    <t xml:space="preserve">Progressive|991207523</t>
  </si>
  <si>
    <t xml:space="preserve">991207523</t>
  </si>
  <si>
    <t xml:space="preserve">AIDALA A.</t>
  </si>
  <si>
    <t xml:space="preserve">Progressive|991253124</t>
  </si>
  <si>
    <t xml:space="preserve">CHACON PENA L.</t>
  </si>
  <si>
    <t xml:space="preserve">Progressive|992229463</t>
  </si>
  <si>
    <t xml:space="preserve">COLLINS S.</t>
  </si>
  <si>
    <t xml:space="preserve">Progressive|993794329</t>
  </si>
  <si>
    <t xml:space="preserve">YILDIRIM S.</t>
  </si>
  <si>
    <t xml:space="preserve">Progressive|999135935</t>
  </si>
  <si>
    <t xml:space="preserve">999135935</t>
  </si>
  <si>
    <t xml:space="preserve">RUBIANO ZORN O.</t>
  </si>
  <si>
    <t xml:space="preserve">Progressive|999289500</t>
  </si>
  <si>
    <t xml:space="preserve">999289500</t>
  </si>
  <si>
    <t xml:space="preserve">GORODKIN M.</t>
  </si>
  <si>
    <t xml:space="preserve">Progressive|999718516</t>
  </si>
  <si>
    <t xml:space="preserve">999718516</t>
  </si>
  <si>
    <t xml:space="preserve">MEDISUN MED  .</t>
  </si>
  <si>
    <t xml:space="preserve">Progressive|999745921</t>
  </si>
  <si>
    <t xml:space="preserve">BLOMBERG E.</t>
  </si>
  <si>
    <t xml:space="preserve">VERA, MANUEL</t>
  </si>
  <si>
    <t xml:space="preserve">CASTILLO, MARLENE</t>
  </si>
  <si>
    <t xml:space="preserve">New</t>
  </si>
  <si>
    <t xml:space="preserve">JOHNSON, LIONEL</t>
  </si>
  <si>
    <t xml:space="preserve">PRESSLEY, TAURUS</t>
  </si>
  <si>
    <t xml:space="preserve">GONZALEZ, FELIPE</t>
  </si>
  <si>
    <t xml:space="preserve">Infinity|10027857401</t>
  </si>
  <si>
    <t xml:space="preserve">10027857401</t>
  </si>
  <si>
    <t xml:space="preserve">VALDES, VICTOR</t>
  </si>
  <si>
    <t xml:space="preserve">ENDORSE</t>
  </si>
  <si>
    <t xml:space="preserve">CnxFinal</t>
  </si>
  <si>
    <t xml:space="preserve">Infinity|10193915602</t>
  </si>
  <si>
    <t xml:space="preserve">TAS, RESUL</t>
  </si>
  <si>
    <t xml:space="preserve">Infinity|10213255201</t>
  </si>
  <si>
    <t xml:space="preserve">PEREZ ROY, JUAN</t>
  </si>
  <si>
    <t xml:space="preserve">05/23/2026</t>
  </si>
  <si>
    <t xml:space="preserve">Infinity|10239866201</t>
  </si>
  <si>
    <t xml:space="preserve">FRATER, SYLVESTER</t>
  </si>
  <si>
    <t xml:space="preserve">Infinity|10260538001</t>
  </si>
  <si>
    <t xml:space="preserve">RAI, DIVYANI</t>
  </si>
  <si>
    <t xml:space="preserve">Infinity|10260713001</t>
  </si>
  <si>
    <t xml:space="preserve">MENDOZA, JABIERQUIS</t>
  </si>
  <si>
    <t xml:space="preserve">06/03/2026</t>
  </si>
  <si>
    <t xml:space="preserve">Infinity|10269872401</t>
  </si>
  <si>
    <t xml:space="preserve">10269872401</t>
  </si>
  <si>
    <t xml:space="preserve">Douek, Hadass</t>
  </si>
  <si>
    <t xml:space="preserve">Infinity|10270681801</t>
  </si>
  <si>
    <t xml:space="preserve">10270681801</t>
  </si>
  <si>
    <t xml:space="preserve">Lopez, Felipe</t>
  </si>
  <si>
    <t xml:space="preserve">Infinity|10271025401</t>
  </si>
  <si>
    <t xml:space="preserve">10271025401</t>
  </si>
  <si>
    <t xml:space="preserve">Aquilar, Abel</t>
  </si>
  <si>
    <t xml:space="preserve">Infinity|50018945101</t>
  </si>
  <si>
    <t xml:space="preserve">50018945101</t>
  </si>
  <si>
    <t xml:space="preserve">Alvarez, Luis</t>
  </si>
  <si>
    <t xml:space="preserve">Infinity|50019720001</t>
  </si>
  <si>
    <t xml:space="preserve">50019720001</t>
  </si>
  <si>
    <t xml:space="preserve">Boodoosingh, Premchan</t>
  </si>
  <si>
    <t xml:space="preserve">Infinity|50025577501</t>
  </si>
  <si>
    <t xml:space="preserve">50025577501</t>
  </si>
  <si>
    <t xml:space="preserve">Goykhman, Leonid</t>
  </si>
  <si>
    <t xml:space="preserve">Infinity|50026396402</t>
  </si>
  <si>
    <t xml:space="preserve">RIVAS, JORGE</t>
  </si>
  <si>
    <t xml:space="preserve">Infinity|50030214102</t>
  </si>
  <si>
    <t xml:space="preserve">50030214102</t>
  </si>
  <si>
    <t xml:space="preserve">Barone, Richard</t>
  </si>
  <si>
    <t xml:space="preserve">Infinity|50030429301</t>
  </si>
  <si>
    <t xml:space="preserve">50030429301</t>
  </si>
  <si>
    <t xml:space="preserve">Almonte, Manuela</t>
  </si>
  <si>
    <t xml:space="preserve">Comm as Collected</t>
  </si>
  <si>
    <t xml:space="preserve">UAE 020965001</t>
  </si>
  <si>
    <t xml:space="preserve">HECTOR L RODRIGUEZ RA</t>
  </si>
  <si>
    <t xml:space="preserve">UAO 000653831</t>
  </si>
  <si>
    <t xml:space="preserve">UAO 000653867</t>
  </si>
  <si>
    <t xml:space="preserve">CHRISTIAN O CARBOT</t>
  </si>
  <si>
    <t xml:space="preserve">UAO 000692181</t>
  </si>
  <si>
    <t xml:space="preserve">LUIS A ORTIZ</t>
  </si>
  <si>
    <t xml:space="preserve">UAO 000694805</t>
  </si>
  <si>
    <t xml:space="preserve">JEAN H GUSTAVE</t>
  </si>
  <si>
    <t xml:space="preserve">06/13/26</t>
  </si>
  <si>
    <t xml:space="preserve">UAO 000695126</t>
  </si>
  <si>
    <t xml:space="preserve">YADIER CORDERO GOVEA</t>
  </si>
  <si>
    <t xml:space="preserve">06/15/26</t>
  </si>
  <si>
    <t xml:space="preserve">UAO 000695998</t>
  </si>
  <si>
    <t xml:space="preserve">06/19/26</t>
  </si>
  <si>
    <t xml:space="preserve">UAO 000697725</t>
  </si>
  <si>
    <t xml:space="preserve">MICHAEL D HOWARD</t>
  </si>
  <si>
    <t xml:space="preserve">06/27/26</t>
  </si>
  <si>
    <t xml:space="preserve">UAO 044288703</t>
  </si>
  <si>
    <t xml:space="preserve">TAMEKA L GREENE FOOTM</t>
  </si>
  <si>
    <t xml:space="preserve">United Auto|UAD602082206</t>
  </si>
  <si>
    <t xml:space="preserve">VICTOR E GARCIA BARRE</t>
  </si>
  <si>
    <t xml:space="preserve">United Auto|UAD604178202</t>
  </si>
  <si>
    <t xml:space="preserve">UAD 604178202</t>
  </si>
  <si>
    <t xml:space="preserve">OLKYS BORGES GARCIA</t>
  </si>
  <si>
    <t xml:space="preserve">United Auto|UAD606159902</t>
  </si>
  <si>
    <t xml:space="preserve">United Auto|UAD606715305</t>
  </si>
  <si>
    <t xml:space="preserve">BIANCA R BUZZIZ</t>
  </si>
  <si>
    <t xml:space="preserve">United Auto|UAD607888404</t>
  </si>
  <si>
    <t xml:space="preserve">ORESTE CANIZARES GONZ</t>
  </si>
  <si>
    <t xml:space="preserve">United Auto|UAD609746902</t>
  </si>
  <si>
    <t xml:space="preserve">UAD 609746902</t>
  </si>
  <si>
    <t xml:space="preserve">YUSMANY CARDOSO ROJAS</t>
  </si>
  <si>
    <t xml:space="preserve">United Auto|UAD610261501</t>
  </si>
  <si>
    <t xml:space="preserve">UAD 610261501</t>
  </si>
  <si>
    <t xml:space="preserve">DALICIA MOLINA SERRAN</t>
  </si>
  <si>
    <t xml:space="preserve">United Auto|UAE217449</t>
  </si>
  <si>
    <t xml:space="preserve">JOSE A CRUZ PEREZ</t>
  </si>
  <si>
    <t xml:space="preserve">United Auto|UAE223913</t>
  </si>
  <si>
    <t xml:space="preserve">UAE 000223913</t>
  </si>
  <si>
    <t xml:space="preserve">CODY J MCINTYRE</t>
  </si>
  <si>
    <t xml:space="preserve">United Auto|UAE225427</t>
  </si>
  <si>
    <t xml:space="preserve">United Auto|UAE254009</t>
  </si>
  <si>
    <t xml:space="preserve">LUIS M ORTUNO</t>
  </si>
  <si>
    <t xml:space="preserve">United Auto|UAE268427</t>
  </si>
  <si>
    <t xml:space="preserve">06/28/26</t>
  </si>
  <si>
    <t xml:space="preserve">United Auto|UAE22025501</t>
  </si>
  <si>
    <t xml:space="preserve">UAE 022025501</t>
  </si>
  <si>
    <t xml:space="preserve">JESUS F CASTILLA</t>
  </si>
  <si>
    <t xml:space="preserve">United Auto|UAH474113</t>
  </si>
  <si>
    <t xml:space="preserve">UAH 000474113</t>
  </si>
  <si>
    <t xml:space="preserve">ADALIS RODRIGUEZ RODR</t>
  </si>
  <si>
    <t xml:space="preserve">United Auto|UAH518008</t>
  </si>
  <si>
    <t xml:space="preserve">Cancel (Prorate)</t>
  </si>
  <si>
    <t xml:space="preserve">06/16/26</t>
  </si>
  <si>
    <t xml:space="preserve">United Auto|UAH38965003</t>
  </si>
  <si>
    <t xml:space="preserve">UAH 038965003</t>
  </si>
  <si>
    <t xml:space="preserve">MIGUEL A FUENTES</t>
  </si>
  <si>
    <t xml:space="preserve">United Auto|UAH45013701</t>
  </si>
  <si>
    <t xml:space="preserve">TIMOTHY N TOBEY</t>
  </si>
  <si>
    <t xml:space="preserve">United Auto|UAM339203</t>
  </si>
  <si>
    <t xml:space="preserve">UAM 000339203</t>
  </si>
  <si>
    <t xml:space="preserve">YOHANDY TRANCHO HERRE</t>
  </si>
  <si>
    <t xml:space="preserve">United Auto|UAM1471002</t>
  </si>
  <si>
    <t xml:space="preserve">United Auto|UAM1509402</t>
  </si>
  <si>
    <t xml:space="preserve">UAM 001509402</t>
  </si>
  <si>
    <t xml:space="preserve">RECEP ACIKDENIZ</t>
  </si>
  <si>
    <t xml:space="preserve">United Auto|UAM3007497</t>
  </si>
  <si>
    <t xml:space="preserve">FABIAN J PEREZ FLORES</t>
  </si>
  <si>
    <t xml:space="preserve">06/26/26</t>
  </si>
  <si>
    <t xml:space="preserve">United Auto|UAM3009530</t>
  </si>
  <si>
    <t xml:space="preserve">06/02/26</t>
  </si>
  <si>
    <t xml:space="preserve">06/17/26</t>
  </si>
  <si>
    <t xml:space="preserve">United Auto|UAO632682</t>
  </si>
  <si>
    <t xml:space="preserve">UAO 000632682</t>
  </si>
  <si>
    <t xml:space="preserve">SALVADOR PACHECO</t>
  </si>
  <si>
    <t xml:space="preserve">United Auto|UAO643023</t>
  </si>
  <si>
    <t xml:space="preserve">DARRELL J HARTFIELD I</t>
  </si>
  <si>
    <t xml:space="preserve">United Auto|UAO650061</t>
  </si>
  <si>
    <t xml:space="preserve">UAO 000650061</t>
  </si>
  <si>
    <t xml:space="preserve">RAUL ASPRON ARIAS</t>
  </si>
  <si>
    <t xml:space="preserve">United Auto|UAO663386</t>
  </si>
  <si>
    <t xml:space="preserve">OLYMAR C JIMENEZ RODR</t>
  </si>
  <si>
    <t xml:space="preserve">United Auto|UAO669121</t>
  </si>
  <si>
    <t xml:space="preserve">HECTOR G PARRA SALCED</t>
  </si>
  <si>
    <t xml:space="preserve">United Auto|UAO678665</t>
  </si>
  <si>
    <t xml:space="preserve">06/21/26</t>
  </si>
  <si>
    <t xml:space="preserve">United Auto|UAO680102</t>
  </si>
  <si>
    <t xml:space="preserve">GIOVANNI A RATTO</t>
  </si>
  <si>
    <t xml:space="preserve">United Auto|UAO684300</t>
  </si>
  <si>
    <t xml:space="preserve">LEEVAN C PIERRE-PIERR</t>
  </si>
  <si>
    <t xml:space="preserve">United Auto|UAO684549</t>
  </si>
  <si>
    <t xml:space="preserve">United Auto|UAO686009</t>
  </si>
  <si>
    <t xml:space="preserve">YOISLANDY GUTIERREZ P</t>
  </si>
  <si>
    <t xml:space="preserve">06/23/26</t>
  </si>
  <si>
    <t xml:space="preserve">United Auto|UAO690043</t>
  </si>
  <si>
    <t xml:space="preserve">GABRIELA S LIRIANO</t>
  </si>
  <si>
    <t xml:space="preserve">06/10/26</t>
  </si>
  <si>
    <t xml:space="preserve">06/25/26</t>
  </si>
  <si>
    <t xml:space="preserve">United Auto|UAO690627</t>
  </si>
  <si>
    <t xml:space="preserve">RAMON S TORRES</t>
  </si>
  <si>
    <t xml:space="preserve">06/14/26</t>
  </si>
  <si>
    <t xml:space="preserve">United Auto|UAO51712202</t>
  </si>
  <si>
    <t xml:space="preserve">UAO 051712202</t>
  </si>
  <si>
    <t xml:space="preserve">OSBEL MARTINEZ LUCAS</t>
  </si>
  <si>
    <t xml:space="preserve">United Auto|UAO53588303</t>
  </si>
  <si>
    <t xml:space="preserve">BARBARA J HAUGHTON RE</t>
  </si>
  <si>
    <t xml:space="preserve">United Auto|UAO54889203</t>
  </si>
  <si>
    <t xml:space="preserve">United Auto|UAO54940301</t>
  </si>
  <si>
    <t xml:space="preserve">HANZEL HERNANDEZ SANC</t>
  </si>
  <si>
    <t xml:space="preserve">United Auto|UAO55195603</t>
  </si>
  <si>
    <t xml:space="preserve">BRIAN A CHARLTON</t>
  </si>
  <si>
    <t xml:space="preserve">United Auto|UAO55303903</t>
  </si>
  <si>
    <t xml:space="preserve">United Auto|UAO57275601</t>
  </si>
  <si>
    <t xml:space="preserve">UAO 057275601</t>
  </si>
  <si>
    <t xml:space="preserve">ANTHONY RODRIGUEZ</t>
  </si>
  <si>
    <t xml:space="preserve">United Auto|UAO62029201</t>
  </si>
  <si>
    <t xml:space="preserve">LIZ B LOPEZ</t>
  </si>
  <si>
    <t xml:space="preserve">United Auto|UAO63632801</t>
  </si>
  <si>
    <t xml:space="preserve">UAO 063632801</t>
  </si>
  <si>
    <t xml:space="preserve">YANET OROZCO GARCIA</t>
  </si>
  <si>
    <t xml:space="preserve">United Auto|UAO64893001</t>
  </si>
  <si>
    <t xml:space="preserve">UAO 064893001</t>
  </si>
  <si>
    <t xml:space="preserve">LUIS VICENT</t>
  </si>
  <si>
    <t xml:space="preserve">FORERO AVENDANO, JAVIER A</t>
  </si>
  <si>
    <t xml:space="preserve">JUNCO JIMENEZ, YUSDELY</t>
  </si>
  <si>
    <t xml:space="preserve">Ocean Harbor|P20061781209</t>
  </si>
  <si>
    <t xml:space="preserve">P020061781209</t>
  </si>
  <si>
    <t xml:space="preserve">CASTRO, LESLY T</t>
  </si>
  <si>
    <t xml:space="preserve">Cancellation</t>
  </si>
  <si>
    <t xml:space="preserve">05/15/2026</t>
  </si>
  <si>
    <t xml:space="preserve">Ocean Harbor|P20063965109</t>
  </si>
  <si>
    <t xml:space="preserve">P020063965109</t>
  </si>
  <si>
    <t xml:space="preserve">ABREU, DARIO</t>
  </si>
  <si>
    <t xml:space="preserve">Ocean Harbor|P20109544801</t>
  </si>
  <si>
    <t xml:space="preserve">JOHNSON, JAHMAR J</t>
  </si>
  <si>
    <t xml:space="preserve">Uncollected Premium</t>
  </si>
  <si>
    <t xml:space="preserve">2023332936 04</t>
  </si>
  <si>
    <t xml:space="preserve">Eduardo Gomes</t>
  </si>
  <si>
    <t xml:space="preserve">Renew</t>
  </si>
  <si>
    <t xml:space="preserve">2023520770 04</t>
  </si>
  <si>
    <t xml:space="preserve">Eiglys Hernandez</t>
  </si>
  <si>
    <t xml:space="preserve">National General|201902999606</t>
  </si>
  <si>
    <t xml:space="preserve">2019029996 06</t>
  </si>
  <si>
    <t xml:space="preserve">Ignacio Mora</t>
  </si>
  <si>
    <t xml:space="preserve">6/24/2026</t>
  </si>
  <si>
    <t xml:space="preserve">National General|202127680505</t>
  </si>
  <si>
    <t xml:space="preserve">2021276805 05</t>
  </si>
  <si>
    <t xml:space="preserve">Sagar Chavan</t>
  </si>
  <si>
    <t xml:space="preserve">National General|202184329804</t>
  </si>
  <si>
    <t xml:space="preserve">Evicson Crespo</t>
  </si>
  <si>
    <t xml:space="preserve">National General|202237548104</t>
  </si>
  <si>
    <t xml:space="preserve">Makiyah Moore</t>
  </si>
  <si>
    <t xml:space="preserve">National General|202327682902</t>
  </si>
  <si>
    <t xml:space="preserve">2023276829 02</t>
  </si>
  <si>
    <t xml:space="preserve">Jorge Pacheco Ruiz</t>
  </si>
  <si>
    <t xml:space="preserve">National General|202349536604</t>
  </si>
  <si>
    <t xml:space="preserve">2023495366 04</t>
  </si>
  <si>
    <t xml:space="preserve">Lisa Gori</t>
  </si>
  <si>
    <t xml:space="preserve">National General|202470423402</t>
  </si>
  <si>
    <t xml:space="preserve">Erglyn Zambrano</t>
  </si>
  <si>
    <t xml:space="preserve">2/17/2026</t>
  </si>
  <si>
    <t xml:space="preserve">National General|203116217101</t>
  </si>
  <si>
    <t xml:space="preserve">Dayana Canova</t>
  </si>
  <si>
    <t xml:space="preserve">National General|203213292401</t>
  </si>
  <si>
    <t xml:space="preserve">Sindy Molina</t>
  </si>
  <si>
    <t xml:space="preserve">Cancel</t>
  </si>
  <si>
    <t xml:space="preserve">National General|203321124200</t>
  </si>
  <si>
    <t xml:space="preserve">Kevin Jimenez Aguero</t>
  </si>
  <si>
    <t xml:space="preserve">National General|203364914000</t>
  </si>
  <si>
    <t xml:space="preserve">2033649140 00</t>
  </si>
  <si>
    <t xml:space="preserve">Deamonte Maree</t>
  </si>
  <si>
    <t xml:space="preserve">National General|203503222200</t>
  </si>
  <si>
    <t xml:space="preserve">Christian Rivero</t>
  </si>
  <si>
    <t xml:space="preserve">National General|203613405400</t>
  </si>
  <si>
    <t xml:space="preserve">2036134054 00</t>
  </si>
  <si>
    <t xml:space="preserve">Carlos Sanchez</t>
  </si>
  <si>
    <t xml:space="preserve">GEJO ANGELY</t>
  </si>
  <si>
    <t xml:space="preserve">Commission</t>
  </si>
  <si>
    <t xml:space="preserve">QUINONES SANCHEZ LUIS</t>
  </si>
  <si>
    <t xml:space="preserve">PETIT-HOMME JEFFREY BO</t>
  </si>
  <si>
    <t xml:space="preserve">AmWins|FFL1014574</t>
  </si>
  <si>
    <t xml:space="preserve">FFL01014574</t>
  </si>
  <si>
    <t xml:space="preserve">O BRIEN CHLOE L</t>
  </si>
  <si>
    <t xml:space="preserve">03/01/2026</t>
  </si>
  <si>
    <t xml:space="preserve">AmWins|FFL1036461</t>
  </si>
  <si>
    <t xml:space="preserve">GRAHAM ANAIYA</t>
  </si>
  <si>
    <t xml:space="preserve">01/24/2026</t>
  </si>
  <si>
    <t xml:space="preserve">AmWins|FFL1060899</t>
  </si>
  <si>
    <t xml:space="preserve">FFL01060899</t>
  </si>
  <si>
    <t xml:space="preserve">JACUZZI NINA S</t>
  </si>
  <si>
    <t xml:space="preserve">01/23/2026</t>
  </si>
  <si>
    <t xml:space="preserve">07/23/2026</t>
  </si>
  <si>
    <t xml:space="preserve">AmWins|FFL1069762</t>
  </si>
  <si>
    <t xml:space="preserve">FFL01069762</t>
  </si>
  <si>
    <t xml:space="preserve">ABREU DARIO ANTONIO</t>
  </si>
  <si>
    <t xml:space="preserve">GEICO|6210330335454415679</t>
  </si>
  <si>
    <t xml:space="preserve">6210330335-454415679</t>
  </si>
  <si>
    <t xml:space="preserve">DANGER MEDINA</t>
  </si>
  <si>
    <t xml:space="preserve">Renewal Year Commission</t>
  </si>
  <si>
    <t xml:space="preserve">04/16/2026</t>
  </si>
  <si>
    <t xml:space="preserve">05/03/2026</t>
  </si>
  <si>
    <t xml:space="preserve">05/09/2026</t>
  </si>
  <si>
    <t xml:space="preserve">GEICO|6211373516455073356</t>
  </si>
  <si>
    <t xml:space="preserve">6211373516-455073356</t>
  </si>
  <si>
    <t xml:space="preserve">JEREMY FERNANDEZ</t>
  </si>
  <si>
    <t xml:space="preserve">04/22/2026</t>
  </si>
  <si>
    <t xml:space="preserve">GEICO|6213666370456956148</t>
  </si>
  <si>
    <t xml:space="preserve">6213666370-456956148</t>
  </si>
  <si>
    <t xml:space="preserve">ANISLEY LOPEZ BROCHE</t>
  </si>
  <si>
    <t xml:space="preserve">05/10/2026</t>
  </si>
  <si>
    <t xml:space="preserve">05/29/2026</t>
  </si>
  <si>
    <t xml:space="preserve">GEICO|6215099570439166389</t>
  </si>
  <si>
    <t xml:space="preserve">6215099570-439166389</t>
  </si>
  <si>
    <t xml:space="preserve">BRANDON HEITMAN</t>
  </si>
  <si>
    <t xml:space="preserve">06/02/2026</t>
  </si>
  <si>
    <t xml:space="preserve">GEICO|6218976493442070681</t>
  </si>
  <si>
    <t xml:space="preserve">6218976493-442070681</t>
  </si>
  <si>
    <t xml:space="preserve">VICTOR JOA BLANCO</t>
  </si>
  <si>
    <t xml:space="preserve">GEICO|6219586788442580316</t>
  </si>
  <si>
    <t xml:space="preserve">GEICO|6224341963445884698</t>
  </si>
  <si>
    <t xml:space="preserve">6224341963-445884698</t>
  </si>
  <si>
    <t xml:space="preserve">YADIAN PEREZ HERRERA</t>
  </si>
  <si>
    <t xml:space="preserve">GEICO|6233967402453513716</t>
  </si>
  <si>
    <t xml:space="preserve">6233967402-453513716</t>
  </si>
  <si>
    <t xml:space="preserve">MARIOLA ANDRE</t>
  </si>
  <si>
    <t xml:space="preserve">GEICO|6235264055454622861</t>
  </si>
  <si>
    <t xml:space="preserve">6235264055-454622861</t>
  </si>
  <si>
    <t xml:space="preserve">SAHAR MULLA</t>
  </si>
  <si>
    <t xml:space="preserve">04/19/2026</t>
  </si>
  <si>
    <t xml:space="preserve">GEICO|6235925572455077652</t>
  </si>
  <si>
    <t xml:space="preserve">6235925572-455077652</t>
  </si>
  <si>
    <t xml:space="preserve">YOEL MANZOR RAMON</t>
  </si>
  <si>
    <t xml:space="preserve">GEICO|6236984149456570864</t>
  </si>
  <si>
    <t xml:space="preserve">6236984149-456570864</t>
  </si>
  <si>
    <t xml:space="preserve">HAROLD DIAZ</t>
  </si>
  <si>
    <t xml:space="preserve">05/06/2026</t>
  </si>
  <si>
    <t xml:space="preserve">GEICO|6257187770457978272</t>
  </si>
  <si>
    <t xml:space="preserve">6257187770-457978272</t>
  </si>
  <si>
    <t xml:space="preserve">MILENI ORTIZ</t>
  </si>
  <si>
    <t xml:space="preserve">First Year Commission</t>
  </si>
  <si>
    <t xml:space="preserve">GEICO|6260512436460406529</t>
  </si>
  <si>
    <t xml:space="preserve">6260512436-460406529</t>
  </si>
  <si>
    <t xml:space="preserve">DARIL MARTIN</t>
  </si>
  <si>
    <t xml:space="preserve">GEICO|6261547670461191603</t>
  </si>
  <si>
    <t xml:space="preserve">6261547670-461191603</t>
  </si>
  <si>
    <t xml:space="preserve">VICENTE PEREZ</t>
  </si>
  <si>
    <t xml:space="preserve">GEICO|6261712878461298949</t>
  </si>
  <si>
    <t xml:space="preserve">6261712878-461298949</t>
  </si>
  <si>
    <t xml:space="preserve">ANTONIO PEREZ</t>
  </si>
  <si>
    <t xml:space="preserve">GEICO|6261849761461404862</t>
  </si>
  <si>
    <t xml:space="preserve">6261849761-461404862</t>
  </si>
  <si>
    <t xml:space="preserve">RAMON RODRIGUEZ FALCON</t>
  </si>
  <si>
    <t xml:space="preserve">GEICO|6263083237462381787</t>
  </si>
  <si>
    <t xml:space="preserve">6263083237-462381787</t>
  </si>
  <si>
    <t xml:space="preserve">RHONDALYN ROLLE</t>
  </si>
  <si>
    <t xml:space="preserve">GEICO|6263144823462389941</t>
  </si>
  <si>
    <t xml:space="preserve">6263144823-462389941</t>
  </si>
  <si>
    <t xml:space="preserve">BIANKE GADSDEN</t>
  </si>
  <si>
    <t xml:space="preserve">GEICO|9300181821330332</t>
  </si>
  <si>
    <t xml:space="preserve">9300181821-330332</t>
  </si>
  <si>
    <t xml:space="preserve">RENOVA CONSTRUCTI ON, LLC</t>
  </si>
  <si>
    <t xml:space="preserve">STATEMENT TOTAL (all transactions, all six carriers + GEICO)</t>
  </si>
  <si>
    <t xml:space="preserve">Of which: Doral binder-book clients</t>
  </si>
  <si>
    <t xml:space="preserve">Recap by Carrier - Doral Binder Book vs. Full Carrier Statement</t>
  </si>
  <si>
    <t xml:space="preserve">Rate the Carrier Shows</t>
  </si>
  <si>
    <t xml:space="preserve">Binder Policies</t>
  </si>
  <si>
    <t xml:space="preserve">Found on Statement</t>
  </si>
  <si>
    <t xml:space="preserve">Commissionable Premium (binder clients)</t>
  </si>
  <si>
    <t xml:space="preserve">Commission Earned (binder clients)</t>
  </si>
  <si>
    <t xml:space="preserve">Total Commission on Statement (all agency business)</t>
  </si>
  <si>
    <t xml:space="preserve">Binder Share of Statement</t>
  </si>
  <si>
    <t xml:space="preserve">Other Book Activity - Txns</t>
  </si>
  <si>
    <t xml:space="preserve">Other Book Activity - Commission</t>
  </si>
  <si>
    <t xml:space="preserve">Statement Adjustments (Doral)</t>
  </si>
  <si>
    <t xml:space="preserve">Total Doral Commission</t>
  </si>
  <si>
    <t xml:space="preserve">8% - 14%, varies by policy</t>
  </si>
  <si>
    <t xml:space="preserve">10% flat</t>
  </si>
  <si>
    <t xml:space="preserve">10% as collected (3% incentive excluded)</t>
  </si>
  <si>
    <t xml:space="preserve">11% (13% on some policies)</t>
  </si>
  <si>
    <t xml:space="preserve">10% of net cash</t>
  </si>
  <si>
    <t xml:space="preserve">10% / 12% / 15%</t>
  </si>
  <si>
    <t xml:space="preserve">TOTAL</t>
  </si>
  <si>
    <t xml:space="preserve">Other Doral Book Activity on the June 2026 Carrier Statements</t>
  </si>
  <si>
    <t xml:space="preserve">Transactions belonging to the wider Doral office book of business that appear on the June carrier statements but are NOT on the June binder sheet - endorsements, cancellations, adjustments and as-collected commission on policies written in earlier months.</t>
  </si>
  <si>
    <t xml:space="preserve">Customer Name (per Doral book)</t>
  </si>
  <si>
    <t xml:space="preserve">Premium / Basis</t>
  </si>
  <si>
    <t xml:space="preserve">Premium Counted</t>
  </si>
  <si>
    <t xml:space="preserve">Commission Counted</t>
  </si>
  <si>
    <t xml:space="preserve">Book Month</t>
  </si>
  <si>
    <t xml:space="preserve">Company (per book)</t>
  </si>
  <si>
    <t xml:space="preserve">PROGRESSIVE  -  25 transactions</t>
  </si>
  <si>
    <t xml:space="preserve">Progressive subtotal</t>
  </si>
  <si>
    <t xml:space="preserve">INFINITY  -  8 transactions</t>
  </si>
  <si>
    <t xml:space="preserve">Infinity subtotal</t>
  </si>
  <si>
    <t xml:space="preserve">UNITED AUTO  -  58 transactions</t>
  </si>
  <si>
    <t xml:space="preserve">United Auto subtotal</t>
  </si>
  <si>
    <t xml:space="preserve">OCEAN HARBOR  -  2 transactions</t>
  </si>
  <si>
    <t xml:space="preserve">Ocean Harbor subtotal</t>
  </si>
  <si>
    <t xml:space="preserve">NATIONAL GENERAL  -  7 transactions</t>
  </si>
  <si>
    <t xml:space="preserve">National General subtotal</t>
  </si>
  <si>
    <t xml:space="preserve">AMWINS  -  1 transaction</t>
  </si>
  <si>
    <t xml:space="preserve">AmWins subtotal</t>
  </si>
  <si>
    <t xml:space="preserve">GEICO  -  2 transactions</t>
  </si>
  <si>
    <t xml:space="preserve">GEICO subtotal</t>
  </si>
  <si>
    <t xml:space="preserve">TOTAL - OTHER DORAL BOOK ACTIVITY</t>
  </si>
  <si>
    <t xml:space="preserve">STATEMENT-LEVEL ADJUSTMENTS &amp; FEES</t>
  </si>
  <si>
    <t xml:space="preserve">Every chargeback, fee and adjustment the carriers apply outside the policy transaction listing. Four carriers have them: National General, Kemper, Pearl and United. Most carry no policy number, so they are matched by name where the carrier gives one. Only rows marked YES reach the totals - a row can be Doral business and still be excluded, as United's 3% is.</t>
  </si>
  <si>
    <t xml:space="preserve">Name on the adjustment</t>
  </si>
  <si>
    <t xml:space="preserve">Reference</t>
  </si>
  <si>
    <t xml:space="preserve">Adjustment Type</t>
  </si>
  <si>
    <t xml:space="preserve">Date</t>
  </si>
  <si>
    <t xml:space="preserve">Amount</t>
  </si>
  <si>
    <t xml:space="preserve">Counted?</t>
  </si>
  <si>
    <t xml:space="preserve">How it was matched / why not counted</t>
  </si>
  <si>
    <t xml:space="preserve">Agency-level fee - Kemper names no insured, so it cannot be attributed to the Doral book</t>
  </si>
  <si>
    <t xml:space="preserve">United books its 3% incentive as an Adjustment (its statement shows 37 such lines netting $6.89 agency-wide). Excluded by instruction - this book is carried at 10% as collected. Every line is itemised on the Transaction Detail and Book Activity tabs.</t>
  </si>
  <si>
    <t xml:space="preserve">Name abbreviated by Pearl - no confident Doral match</t>
  </si>
  <si>
    <t xml:space="preserve">All adjustments on the statements</t>
  </si>
  <si>
    <t xml:space="preserve">OF WHICH COUNTED IN THE DORAL TOTALS</t>
  </si>
  <si>
    <t xml:space="preserve">Notes, Sources &amp; Methodology</t>
  </si>
  <si>
    <t xml:space="preserve">Source files</t>
  </si>
  <si>
    <t xml:space="preserve">June binder sheet</t>
  </si>
  <si>
    <t xml:space="preserve">Doral_Office_Binder_Book_June_Sheet.pdf - 63 policies (18 new business, 45 renewals), producer Jorge. This drives the Commission Summary tab.</t>
  </si>
  <si>
    <t xml:space="preserve">Full book of business</t>
  </si>
  <si>
    <t xml:space="preserve">Doral_Office_Binder_Book.xlsx - the whole Doral office book, 54 monthly sheets from Dec 2022 to Aug 2026, 2,706 policy rows and 1,383 distinct policy numbers. This drives the Book Activity by Carrier tab.</t>
  </si>
  <si>
    <t xml:space="preserve">DetailedStatement20260811_Progressive.xlsx - 188 transactions, agent 24258, month end 202606. Ties to the Summary tab of that file: $14,289.02.</t>
  </si>
  <si>
    <t xml:space="preserve">Kemper.pdf - Kemper Auto Monthly Producer Statement, agent 5517897. 27 transactions, ties to the FL Commission Total: $656.60.</t>
  </si>
  <si>
    <t xml:space="preserve">United_100208_June_statement.PDF - United Insurance Group, agent 001-1D-100208, premium period 06/01/26-06/30/26. 98 transactions netting $444.33, which ties to the statement current balance.</t>
  </si>
  <si>
    <t xml:space="preserve">Pearl_Holding_Statement.pdf - Pearl Holding Group, producer code 6883. 6 transactions, ties to Commission Due: $326.21.</t>
  </si>
  <si>
    <t xml:space="preserve">National_General_Commission_Statement_DB_June_2026.xlsx - Princeton code 9019644. 18 transactions, ties to Grand Total Commission: $871.27.</t>
  </si>
  <si>
    <t xml:space="preserve">Amwins_Comm_1.PDF - Amwins Specialty Auto of Florida, agent 246500. 9 rows, ties to the Agency Total: $72.34.</t>
  </si>
  <si>
    <t xml:space="preserve">Commission_Statement_35.pdf - GEICO, payee Universal Brokers LLC. 38 transactions, ties to the Payment Amount: $2,267.79.</t>
  </si>
  <si>
    <t xml:space="preserve">How commission is calculated</t>
  </si>
  <si>
    <t xml:space="preserve">Matching</t>
  </si>
  <si>
    <t xml:space="preserve">Every binder-book policy was matched to the carrier statements by POLICY NUMBER, not by name, so name spelling differences between the binder and the carriers do not affect the result.</t>
  </si>
  <si>
    <t xml:space="preserve">Rate used</t>
  </si>
  <si>
    <t xml:space="preserve">The rate is taken from the carrier statement itself - it is never assumed. Column K of the Transaction Detail tab is the commission the carrier printed; column L re-performs it as basis x rate and column M shows any difference.</t>
  </si>
  <si>
    <t xml:space="preserve">Progressive basis</t>
  </si>
  <si>
    <t xml:space="preserve">Gross premium on the Progressive detail line. Progressive shows a per-policy rate that varies: 8%, 9%, 10%, 12% and 14% all appear.</t>
  </si>
  <si>
    <t xml:space="preserve">Infinity basis</t>
  </si>
  <si>
    <t xml:space="preserve">Premium column on the Kemper statement. Kemper shows a flat 0.10 (10%) on every FL line.</t>
  </si>
  <si>
    <t xml:space="preserve">United Auto basis</t>
  </si>
  <si>
    <t xml:space="preserve">Transaction amount on the United statement, booked at 10% AS COLLECTED.</t>
  </si>
  <si>
    <t xml:space="preserve">United Auto 3% incentive</t>
  </si>
  <si>
    <t xml:space="preserve">United also pays a separate 3% PROMOTIONAL INCENTIVE line on most policies. By instruction this workbook books United at 10% only, so those incentive lines are EXCLUDED from every Doral total. They are still carried on the Transaction Detail tab exactly as United shows them (column K, shaded), and column O zeroes them so they never reach the Commission Summary. The amount excluded for Doral clients is $252.85 - if you later decide to book it, that is what it would add.</t>
  </si>
  <si>
    <t xml:space="preserve">United Auto as collected</t>
  </si>
  <si>
    <t xml:space="preserve">Most United policies are direct bill and pay COMM AS COLLECTED, meaning June commission is earned only on the premium United actually collected in June - not on the full term premium. That is why, for example, Luis A. Ortiz shows $163.60 commissionable against a $1,103.35 binder premium. The rest of that policy will earn commission on later monthly statements. The four United new-business policies (Gustave, Cordero, Vazquez, Howard) are shown on full premium.</t>
  </si>
  <si>
    <t xml:space="preserve">United Auto net</t>
  </si>
  <si>
    <t xml:space="preserve">United's statement nets to $444.33 for the whole agency because cancellations on non-Doral policies charge back more than $1,300. The Doral book on its own earned $902.53 at 10%, which is why its share of that statement reads over 100% on the Carrier Recap tab.</t>
  </si>
  <si>
    <t xml:space="preserve">United Auto signs</t>
  </si>
  <si>
    <t xml:space="preserve">United prints amounts owed TO the agency with a trailing minus and chargebacks as positives. Those signs are reversed in this workbook so that commission earned is positive and chargebacks are negative, which is why the sum here reads $444.33 rather than $444.33-.</t>
  </si>
  <si>
    <t xml:space="preserve">Ocean Harbor basis</t>
  </si>
  <si>
    <t xml:space="preserve">Premium only. The $35.00 policy fee that Pearl lists separately is NOT commissionable - e.g. Javier Forero: $1,153.00 x 11% = $126.83, with the $35.00 fee excluded. The binder premium of $1,188.00 is premium plus fee, which is why it is higher than the commissionable premium.</t>
  </si>
  <si>
    <t xml:space="preserve">National General basis</t>
  </si>
  <si>
    <t xml:space="preserve">Written premium on the Summary Details tab. National General shows a flat 10%.</t>
  </si>
  <si>
    <t xml:space="preserve">AmWins basis</t>
  </si>
  <si>
    <t xml:space="preserve">NET CASH (gross cash less fees), not written premium. AmWins shows 10% and applies it to net cash - e.g. Angely Gejo: $164.67 net cash x 10% = $16.47.</t>
  </si>
  <si>
    <t xml:space="preserve">Binder vs commissionable</t>
  </si>
  <si>
    <t xml:space="preserve">Binder Premium and Commissionable Premium are not meant to agree. The binder figure is the full term premium including MVR and policy fees; the commissionable figure is what the carrier actually paid on this month - net of fees, net of endorsements and cancellations, and for United only the premium collected in June.</t>
  </si>
  <si>
    <t xml:space="preserve">Multiple transactions</t>
  </si>
  <si>
    <t xml:space="preserve">Where a policy has more than one line in the month, all lines are netted and the Notes column on the summary lists them. United incentive lines repeat the same premium as their 10% line, so they are excluded from Commissionable Premium as well (column N of the detail tab) and the premium is never double counted.</t>
  </si>
  <si>
    <t xml:space="preserve">Items with no June commission</t>
  </si>
  <si>
    <t xml:space="preserve">Not on the June statement</t>
  </si>
  <si>
    <t xml:space="preserve">6 Progressive renewals on the binder book do not appear anywhere in the June Progressive detail: Amarillys Gonzalez (970306264), Brudys Garcia (990100610), Yosvany Larralde (982064065), Ana G Castano (866496112), Manuel Martinez (990228513), Reysel Castillo (970570633). Verified by both policy number and name. Most likely the commission fell into the May or July statement period - worth following up with Progressive.</t>
  </si>
  <si>
    <t xml:space="preserve">No June activity</t>
  </si>
  <si>
    <t xml:space="preserve">5 policies are 12-month contracts effective in late 2025 that carry no premium on the binder sheet and show no June 2026 activity on their carrier statement, so $0 is the correct answer for them this month, not a missing match: Levy Diaz Torres, Elizabeth Mirabal Hernandez, Ana Maria Acosta and James John Ciullo (all Infinity), plus Armando Caralos (National General, policy 2032597919).</t>
  </si>
  <si>
    <t xml:space="preserve">No client on the June binder sheet appears on the GEICO statement, but the wider Doral book does: Iris Lopez Sanchez (policy 6219586788) has two renewal-year lines, netting -$45.78. Those two are on the Book Activity by Carrier tab. The remaining 36 GEICO transactions belong to writing agents Alberto Manzor Jr and Amanda Montano and contribute $0 to the Doral totals.</t>
  </si>
  <si>
    <t xml:space="preserve">Book Activity by Carrier tab</t>
  </si>
  <si>
    <t xml:space="preserve">What it is</t>
  </si>
  <si>
    <t xml:space="preserve">Every transaction on the June carrier statements that belongs to a policy in the wider Doral book of business but is NOT on the June binder sheet: endorsements, cancellations, credit endorsements, uncollected premium and as-collected commission on policies written in earlier months. Grouped into a section per carrier, each with its own subtotal.</t>
  </si>
  <si>
    <t xml:space="preserve">How it was matched</t>
  </si>
  <si>
    <t xml:space="preserve">All 384 statement transactions were tested against all 1,383 distinct policy numbers in the full book. Matching is by policy number, allowing for the suffixes carriers append (National General adds a two-digit term, GEICO appends a second number after a dash, United pads with leading zeros). Every match was then cross-checked on surname between the statement insured and the book customer - all 171 matches agreed, and none had to be resolved by judgement.</t>
  </si>
  <si>
    <t xml:space="preserve">What it shows</t>
  </si>
  <si>
    <t xml:space="preserve">103 transactions across all seven carriers, netting -$1,860.29 as the carriers printed it, or -$1,593.97 once United's 3% incentive lines are excluded under the 10% rule. It is negative because most of this activity is cancellations and chargebacks on business written in earlier months - real money already collected and now being clawed back, which the June binder sheet alone does not show.</t>
  </si>
  <si>
    <t xml:space="preserve">United treatment</t>
  </si>
  <si>
    <t xml:space="preserve">The same 10%-as-collected rule applies here. Incentive lines are listed and shaded but zeroed in the Commission Counted column.</t>
  </si>
  <si>
    <t xml:space="preserve">Not Doral business</t>
  </si>
  <si>
    <t xml:space="preserve">213 of the 384 statement transactions matched no policy in the Doral book. Those belong to the agency's other offices and are excluded from every Doral figure in this workbook.</t>
  </si>
  <si>
    <t xml:space="preserve">Relationship to the summary</t>
  </si>
  <si>
    <t xml:space="preserve">The Commission Summary now carries this activity as its own section below the June binder rows, so the sheet foots to the real number. The June binder sheet total of $6,361.68 is still shown on its own line above it.</t>
  </si>
  <si>
    <t xml:space="preserve">Statement adjustments and fees</t>
  </si>
  <si>
    <t xml:space="preserve">What they are</t>
  </si>
  <si>
    <t xml:space="preserve">Chargebacks, fees and adjustments the carriers apply OUTSIDE the policy transaction listing, on separate sections of their statements. Four carriers have them: National General -$62.10 of loss-history and violation-history chargebacks, Kemper -$32.90 of UW report fees, Pearl -$16.72 of MVR costs, and United its 3% promotional incentive. Of these, -$43.42 reaches the Doral totals.</t>
  </si>
  <si>
    <t xml:space="preserve">United</t>
  </si>
  <si>
    <t xml:space="preserve">United books its 3% promotional incentive as an Adjustment - its statement footer reads "Adjustment Commission : 37  Commission: $6.89-", and those 37 lines are exactly the incentive lines. The Doral share is +$252.85 on June binder policies and -$266.32 on wider-book policies, netting -$13.47. All of it is excluded because this book is carried at 10% as collected, so it shows on the adjustments block at $0 counted. Every line is itemised on the Transaction Detail and Book Activity tabs.</t>
  </si>
  <si>
    <t xml:space="preserve">Why they are matched differently</t>
  </si>
  <si>
    <t xml:space="preserve">These sections carry no policy number - National General gives a quote number, Pearl abbreviates the name to a surname and initial, and Kemper names no insured at all. They are therefore matched by NAME, which is weaker than the policy-number matching used everywhere else in this workbook. Each row on the Book Activity tab shows how it was matched, and only the rows marked YES are counted.</t>
  </si>
  <si>
    <t xml:space="preserve">8 quote numbers matched the Doral book, worth -$35.06. Violation-history rows share a quote number with a loss-history row, so where the quote is Doral every row on it is treated as Doral - that is how the two drivers on quote 242804983 are picked up.</t>
  </si>
  <si>
    <t xml:space="preserve">Kemper</t>
  </si>
  <si>
    <t xml:space="preserve">The -$32.90 is an agency-level UW report fee with no insured named, so none of it can be attributed to the Doral book. It is listed for completeness and counted as $0.</t>
  </si>
  <si>
    <t xml:space="preserve">Pearl</t>
  </si>
  <si>
    <t xml:space="preserve">JOHNSON, J is matched to Jahmar J Johnson, who appears on the same statement as a Doral cancellation, worth -$8.36. MARTINEZ, L could not be identified and is not counted.</t>
  </si>
  <si>
    <t xml:space="preserve">Controls performed</t>
  </si>
  <si>
    <t xml:space="preserve">Binder premium tie-out</t>
  </si>
  <si>
    <t xml:space="preserve">The Binder Premium column reproduces the binder sheet's own totals exactly: new business $29,109.40 ($28,891.00 base + $218.40 MVR/fees) and renewals $49,272.55, confirming all 63 rows were captured.</t>
  </si>
  <si>
    <t xml:space="preserve">Carrier tie-out</t>
  </si>
  <si>
    <t xml:space="preserve">Each statement was re-added from its individual transaction lines and agreed to the total the carrier printed: Progressive $14,289.02, Kemper/Infinity $656.60, United Auto $444.33, Ocean Harbor $326.21, National General $871.27, AmWins $72.34, GEICO $2,267.79.</t>
  </si>
  <si>
    <t xml:space="preserve">Cross-check on Ocean Harbor</t>
  </si>
  <si>
    <t xml:space="preserve">Pearl Holding's statement is a scanned image, so it was read by OCR. The reading is confirmed three ways: the six lines re-add to the printed Commission Due of $326.21, every line reproduces as premium x rate, and both Doral policy numbers and premiums agree with the binder sheet ($1,153 + $35 fee = the $1,188 on the binder; $1,141 + $35 = $1,176).</t>
  </si>
  <si>
    <t xml:space="preserve">Rate re-performance</t>
  </si>
  <si>
    <t xml:space="preserve">Column M of the Transaction Detail tab is the difference between the carrier-printed commission and basis x rate. It is $0.00 on every one of the 384 transactions except seven United Auto promotional-incentive lines, where United truncates the 3% to the cent instead of rounding it. Because the incentive is excluded from the Doral totals, every transaction that does reach those totals re-performs exactly, to the cent.</t>
  </si>
  <si>
    <t xml:space="preserve">Agency codes</t>
  </si>
  <si>
    <t xml:space="preserve">The six statements are issued to different agency codes and letterheads (Universal Brokers LLC, Creative Insurance Agency, producer code 6883, Princeton code 9019644). Every Doral policy number nevertheless matched its carrier statement exactly, so the codes are alternate identities for the same book rather than a mismatch.</t>
  </si>
  <si>
    <t xml:space="preserve">Reading the workbook</t>
  </si>
  <si>
    <t xml:space="preserve">Commission Summary</t>
  </si>
  <si>
    <t xml:space="preserve">Four blocks. New Business and Renewals are the June binder sheet, footing to $6,361.68. Below them, Other Doral Book Activity carries one row per wider-book policy with June statement activity (-$1,593.97), and Statement Adjustments &amp; Fees lists every one of the 26 chargebacks and fees individually (-$43.42 counted). The bottom line, Total Doral June Commission, is $4,724.29.</t>
  </si>
  <si>
    <t xml:space="preserve">Adjustment rows</t>
  </si>
  <si>
    <t xml:space="preserve">In that block only, column N holds the amount as it appears on the statement and column O holds the part tied to a Doral client. Rows that could not be tied to a Doral client are shaded and carry $0 in column O, so they are visible without inflating the total. All 26 rows total -$111.72; the Doral part is -$43.42.</t>
  </si>
  <si>
    <t xml:space="preserve">Transaction Detail</t>
  </si>
  <si>
    <t xml:space="preserve">Every line from all seven statements. Column P flags whether the line belongs to a Doral binder-book client. Blue figures are taken straight from the carrier statement; black figures are calculated. Columns N and O are what actually feeds the Commission Summary - United incentive lines sit at zero there.</t>
  </si>
  <si>
    <t xml:space="preserve">Carrier Recap</t>
  </si>
  <si>
    <t xml:space="preserve">Per-carrier totals, what share of each carrier statement the June binder book represents, and the other book activity added alongside it to give a total Doral commission per carrier.</t>
  </si>
  <si>
    <t xml:space="preserve">Book Activity by Carrier</t>
  </si>
  <si>
    <t xml:space="preserve">A section per carrier listing the wider-book transactions described above, each with a subtotal, and a grand total at the foot.</t>
  </si>
</sst>
</file>

<file path=xl/styles.xml><?xml version="1.0" encoding="utf-8"?>
<styleSheet xmlns="http://schemas.openxmlformats.org/spreadsheetml/2006/main">
  <numFmts count="4">
    <numFmt numFmtId="164" formatCode="General"/>
    <numFmt numFmtId="165" formatCode="\$#,##0.00;&quot;($&quot;#,##0.00\);\-"/>
    <numFmt numFmtId="166" formatCode="0.00%"/>
    <numFmt numFmtId="167"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sz val="10"/>
      <color rgb="FF404040"/>
      <name val="Arial"/>
      <family val="0"/>
      <charset val="1"/>
    </font>
    <font>
      <i val="true"/>
      <sz val="10"/>
      <color rgb="FF404040"/>
      <name val="Arial"/>
      <family val="0"/>
      <charset val="1"/>
    </font>
    <font>
      <b val="true"/>
      <sz val="10"/>
      <color rgb="FFFFFFFF"/>
      <name val="Arial"/>
      <family val="0"/>
      <charset val="1"/>
    </font>
    <font>
      <b val="true"/>
      <sz val="11"/>
      <color rgb="FFFFFFFF"/>
      <name val="Arial"/>
      <family val="0"/>
      <charset val="1"/>
    </font>
    <font>
      <b val="true"/>
      <sz val="11"/>
      <name val="Arial"/>
      <family val="0"/>
      <charset val="1"/>
    </font>
    <font>
      <b val="true"/>
      <sz val="12"/>
      <name val="Arial"/>
      <family val="0"/>
      <charset val="1"/>
    </font>
    <font>
      <sz val="10"/>
      <color rgb="FF0000FF"/>
      <name val="Arial"/>
      <family val="0"/>
      <charset val="1"/>
    </font>
    <font>
      <b val="true"/>
      <sz val="10"/>
      <name val="Arial"/>
      <family val="0"/>
      <charset val="1"/>
    </font>
    <font>
      <sz val="10"/>
      <name val="Arial"/>
      <family val="2"/>
    </font>
    <font>
      <b val="true"/>
      <sz val="13"/>
      <color rgb="FF1F3864"/>
      <name val="Arial"/>
      <family val="0"/>
      <charset val="1"/>
    </font>
    <font>
      <b val="true"/>
      <sz val="12"/>
      <color rgb="FF1F3864"/>
      <name val="Arial"/>
      <family val="0"/>
      <charset val="1"/>
    </font>
    <font>
      <b val="true"/>
      <sz val="11"/>
      <color rgb="FF1F3864"/>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8EA9DB"/>
        <bgColor rgb="FF969696"/>
      </patternFill>
    </fill>
    <fill>
      <patternFill patternType="solid">
        <fgColor rgb="FFD9E1F2"/>
        <bgColor rgb="FFE2EFDA"/>
      </patternFill>
    </fill>
    <fill>
      <patternFill patternType="solid">
        <fgColor rgb="FFFFF2CC"/>
        <bgColor rgb="FFFCE4D6"/>
      </patternFill>
    </fill>
    <fill>
      <patternFill patternType="solid">
        <fgColor rgb="FFFCE4D6"/>
        <bgColor rgb="FFFFF2CC"/>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5" fontId="5" fillId="3" borderId="0" xfId="0" applyFont="true" applyBorder="false" applyAlignment="true" applyProtection="false">
      <alignment horizontal="general" vertical="center" textRotation="0" wrapText="false" indent="0" shrinkToFit="false"/>
      <protection locked="true" hidden="false"/>
    </xf>
    <xf numFmtId="166" fontId="5" fillId="3"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5" fontId="10" fillId="4" borderId="0" xfId="0" applyFont="true" applyBorder="false" applyAlignment="true" applyProtection="false">
      <alignment horizontal="general" vertical="center" textRotation="0" wrapText="false" indent="0" shrinkToFit="false"/>
      <protection locked="true" hidden="false"/>
    </xf>
    <xf numFmtId="166" fontId="10" fillId="4" borderId="0" xfId="0" applyFont="true" applyBorder="false" applyAlignment="true" applyProtection="false">
      <alignment horizontal="general" vertical="center" textRotation="0" wrapText="false" indent="0" shrinkToFit="false"/>
      <protection locked="true" hidden="false"/>
    </xf>
    <xf numFmtId="164" fontId="5" fillId="5" borderId="0" xfId="0" applyFont="true" applyBorder="false" applyAlignment="true" applyProtection="false">
      <alignment horizontal="general" vertical="center" textRotation="0" wrapText="false" indent="0" shrinkToFit="false"/>
      <protection locked="true" hidden="false"/>
    </xf>
    <xf numFmtId="164" fontId="5" fillId="5" borderId="0" xfId="0" applyFont="true" applyBorder="false" applyAlignment="true" applyProtection="false">
      <alignment horizontal="center" vertical="bottom" textRotation="0" wrapText="false" indent="0" shrinkToFit="false"/>
      <protection locked="true" hidden="false"/>
    </xf>
    <xf numFmtId="165" fontId="5" fillId="5" borderId="0" xfId="0" applyFont="true" applyBorder="false" applyAlignment="true" applyProtection="false">
      <alignment horizontal="general" vertical="center" textRotation="0" wrapText="false" indent="0" shrinkToFit="false"/>
      <protection locked="true" hidden="false"/>
    </xf>
    <xf numFmtId="166" fontId="5" fillId="5" borderId="0" xfId="0" applyFont="true" applyBorder="false" applyAlignment="true" applyProtection="false">
      <alignment horizontal="general" vertical="center" textRotation="0" wrapText="false" indent="0" shrinkToFit="false"/>
      <protection locked="true" hidden="false"/>
    </xf>
    <xf numFmtId="164" fontId="11" fillId="6" borderId="0" xfId="0" applyFont="true" applyBorder="false" applyAlignment="true" applyProtection="false">
      <alignment horizontal="general" vertical="center" textRotation="0" wrapText="false" indent="0" shrinkToFit="false"/>
      <protection locked="true" hidden="false"/>
    </xf>
    <xf numFmtId="164" fontId="11" fillId="6" borderId="0" xfId="0" applyFont="true" applyBorder="false" applyAlignment="true" applyProtection="false">
      <alignment horizontal="center" vertical="bottom" textRotation="0" wrapText="false" indent="0" shrinkToFit="false"/>
      <protection locked="true" hidden="false"/>
    </xf>
    <xf numFmtId="165" fontId="11" fillId="6" borderId="0" xfId="0" applyFont="true" applyBorder="false" applyAlignment="true" applyProtection="false">
      <alignment horizontal="general" vertical="center" textRotation="0" wrapText="false" indent="0" shrinkToFit="false"/>
      <protection locked="true" hidden="false"/>
    </xf>
    <xf numFmtId="166" fontId="11" fillId="6"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5" fontId="12" fillId="7" borderId="0" xfId="0" applyFont="true" applyBorder="false" applyAlignment="true" applyProtection="false">
      <alignment horizontal="general" vertical="center" textRotation="0" wrapText="false" indent="0" shrinkToFit="false"/>
      <protection locked="true" hidden="false"/>
    </xf>
    <xf numFmtId="166" fontId="12" fillId="7" borderId="0" xfId="0" applyFont="true" applyBorder="false" applyAlignment="true" applyProtection="false">
      <alignment horizontal="general" vertical="center" textRotation="0" wrapText="false" indent="0" shrinkToFit="false"/>
      <protection locked="true" hidden="false"/>
    </xf>
    <xf numFmtId="165"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true" applyProtection="false">
      <alignment horizontal="general" vertical="center" textRotation="0" wrapText="false" indent="0" shrinkToFit="false"/>
      <protection locked="true" hidden="false"/>
    </xf>
    <xf numFmtId="166" fontId="12" fillId="0" borderId="0" xfId="0" applyFont="true" applyBorder="false" applyAlignment="true" applyProtection="false">
      <alignment horizontal="general" vertical="center" textRotation="0" wrapText="false" indent="0" shrinkToFit="false"/>
      <protection locked="true" hidden="false"/>
    </xf>
    <xf numFmtId="164" fontId="13" fillId="6" borderId="0" xfId="0" applyFont="true" applyBorder="false" applyAlignment="true" applyProtection="false">
      <alignment horizontal="general" vertical="center" textRotation="0" wrapText="false" indent="0" shrinkToFit="false"/>
      <protection locked="true" hidden="false"/>
    </xf>
    <xf numFmtId="165" fontId="13" fillId="6"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0" fillId="6" borderId="0" xfId="0" applyFont="true" applyBorder="false" applyAlignment="true" applyProtection="false">
      <alignment horizontal="general" vertical="center" textRotation="0" wrapText="false" indent="0" shrinkToFit="false"/>
      <protection locked="true" hidden="false"/>
    </xf>
    <xf numFmtId="167" fontId="10" fillId="6" borderId="0" xfId="0" applyFont="true" applyBorder="false" applyAlignment="true" applyProtection="false">
      <alignment horizontal="center" vertical="bottom" textRotation="0" wrapText="false" indent="0" shrinkToFit="false"/>
      <protection locked="true" hidden="false"/>
    </xf>
    <xf numFmtId="165" fontId="10" fillId="6" borderId="0" xfId="0" applyFont="true" applyBorder="false" applyAlignment="true" applyProtection="false">
      <alignment horizontal="general" vertical="center" textRotation="0" wrapText="false" indent="0" shrinkToFit="false"/>
      <protection locked="true" hidden="false"/>
    </xf>
    <xf numFmtId="166" fontId="10" fillId="6"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8EA9DB"/>
          <bgColor rgb="FF000000"/>
        </patternFill>
      </fill>
    </dxf>
    <dxf>
      <fill>
        <patternFill patternType="solid">
          <fgColor rgb="FFD9E1F2"/>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2"/>
    <col collapsed="false" customWidth="true" hidden="false" outlineLevel="0" max="4" min="4" style="0" width="14"/>
    <col collapsed="false" customWidth="true" hidden="false" outlineLevel="0" max="6" min="5" style="0" width="17"/>
    <col collapsed="false" customWidth="true" hidden="false" outlineLevel="0" max="7" min="7" style="0" width="18"/>
    <col collapsed="false" customWidth="true" hidden="false" outlineLevel="0" max="8" min="8" style="0" width="11"/>
    <col collapsed="false" customWidth="true" hidden="false" outlineLevel="0" max="9" min="9" style="0" width="9"/>
    <col collapsed="false" customWidth="true" hidden="false" outlineLevel="0" max="10" min="10" style="0" width="14"/>
    <col collapsed="false" customWidth="true" hidden="false" outlineLevel="0" max="11" min="11" style="0" width="38"/>
    <col collapsed="false" customWidth="true" hidden="false" outlineLevel="0" max="12" min="12" style="0" width="7"/>
    <col collapsed="false" customWidth="true" hidden="false" outlineLevel="0" max="13" min="13" style="0" width="15"/>
    <col collapsed="false" customWidth="true" hidden="false" outlineLevel="0" max="15" min="14" style="0" width="16"/>
    <col collapsed="false" customWidth="true" hidden="false" outlineLevel="0" max="16" min="16" style="0" width="11"/>
    <col collapsed="false" customWidth="true" hidden="false" outlineLevel="0" max="17" min="17" style="0" width="95"/>
    <col collapsed="false" customWidth="true" hidden="true" outlineLevel="0" max="18" min="18" style="0" width="13"/>
  </cols>
  <sheetData>
    <row r="1" customFormat="false" ht="17.35" hidden="false" customHeight="false" outlineLevel="0" collapsed="false">
      <c r="A1" s="1" t="s">
        <v>0</v>
      </c>
      <c r="B1" s="2"/>
      <c r="C1" s="2"/>
      <c r="D1" s="2"/>
      <c r="E1" s="2"/>
      <c r="F1" s="2"/>
      <c r="G1" s="2"/>
      <c r="H1" s="2"/>
      <c r="I1" s="2"/>
      <c r="J1" s="2"/>
      <c r="K1" s="2"/>
      <c r="L1" s="2"/>
      <c r="M1" s="2"/>
      <c r="N1" s="2"/>
      <c r="O1" s="2"/>
      <c r="P1" s="2"/>
      <c r="Q1" s="2"/>
      <c r="R1" s="2"/>
    </row>
    <row r="2" customFormat="false" ht="15" hidden="false" customHeight="false" outlineLevel="0" collapsed="false">
      <c r="A2" s="3" t="s">
        <v>1</v>
      </c>
      <c r="B2" s="2"/>
      <c r="C2" s="2"/>
      <c r="D2" s="2"/>
      <c r="E2" s="2"/>
      <c r="F2" s="2"/>
      <c r="G2" s="2"/>
      <c r="H2" s="2"/>
      <c r="I2" s="2"/>
      <c r="J2" s="2"/>
      <c r="K2" s="2"/>
      <c r="L2" s="2"/>
      <c r="M2" s="2"/>
      <c r="N2" s="2"/>
      <c r="O2" s="2"/>
      <c r="P2" s="2"/>
      <c r="Q2" s="2"/>
      <c r="R2" s="2"/>
    </row>
    <row r="3" customFormat="false" ht="15" hidden="false" customHeight="false" outlineLevel="0" collapsed="false">
      <c r="A3" s="4" t="s">
        <v>2</v>
      </c>
      <c r="B3" s="2"/>
      <c r="C3" s="2"/>
      <c r="D3" s="2"/>
      <c r="E3" s="2"/>
      <c r="F3" s="2"/>
      <c r="G3" s="2"/>
      <c r="H3" s="2"/>
      <c r="I3" s="2"/>
      <c r="J3" s="2"/>
      <c r="K3" s="2"/>
      <c r="L3" s="2"/>
      <c r="M3" s="2"/>
      <c r="N3" s="2"/>
      <c r="O3" s="2"/>
      <c r="P3" s="2"/>
      <c r="Q3" s="2"/>
      <c r="R3" s="2"/>
    </row>
    <row r="4" customFormat="false" ht="15" hidden="false" customHeight="false" outlineLevel="0" collapsed="false">
      <c r="A4" s="2"/>
      <c r="B4" s="2"/>
      <c r="C4" s="2"/>
      <c r="D4" s="2"/>
      <c r="E4" s="2"/>
      <c r="F4" s="2"/>
      <c r="G4" s="2"/>
      <c r="H4" s="2"/>
      <c r="I4" s="2"/>
      <c r="J4" s="2"/>
      <c r="K4" s="2"/>
      <c r="L4" s="2"/>
      <c r="M4" s="2"/>
      <c r="N4" s="2"/>
      <c r="O4" s="2"/>
      <c r="P4" s="2"/>
      <c r="Q4" s="2"/>
      <c r="R4" s="2"/>
    </row>
    <row r="5" customFormat="false" ht="30" hidden="false" customHeight="true" outlineLevel="0" collapsed="false">
      <c r="A5" s="5" t="s">
        <v>3</v>
      </c>
      <c r="B5" s="5" t="s">
        <v>4</v>
      </c>
      <c r="C5" s="5" t="s">
        <v>5</v>
      </c>
      <c r="D5" s="5" t="s">
        <v>6</v>
      </c>
      <c r="E5" s="5" t="s">
        <v>7</v>
      </c>
      <c r="F5" s="5" t="s">
        <v>8</v>
      </c>
      <c r="G5" s="5" t="s">
        <v>9</v>
      </c>
      <c r="H5" s="5" t="s">
        <v>10</v>
      </c>
      <c r="I5" s="5" t="s">
        <v>11</v>
      </c>
      <c r="J5" s="5" t="s">
        <v>12</v>
      </c>
      <c r="K5" s="5" t="s">
        <v>13</v>
      </c>
      <c r="L5" s="5" t="s">
        <v>14</v>
      </c>
      <c r="M5" s="5" t="s">
        <v>15</v>
      </c>
      <c r="N5" s="5" t="s">
        <v>16</v>
      </c>
      <c r="O5" s="5" t="s">
        <v>17</v>
      </c>
      <c r="P5" s="5" t="s">
        <v>18</v>
      </c>
      <c r="Q5" s="5" t="s">
        <v>19</v>
      </c>
      <c r="R5" s="2" t="s">
        <v>20</v>
      </c>
    </row>
    <row r="6" customFormat="false" ht="15" hidden="false" customHeight="false" outlineLevel="0" collapsed="false">
      <c r="A6" s="6" t="s">
        <v>21</v>
      </c>
      <c r="B6" s="7"/>
      <c r="C6" s="7"/>
      <c r="D6" s="7"/>
      <c r="E6" s="7"/>
      <c r="F6" s="7"/>
      <c r="G6" s="7"/>
      <c r="H6" s="7"/>
      <c r="I6" s="8"/>
      <c r="J6" s="9"/>
      <c r="K6" s="7"/>
      <c r="L6" s="8"/>
      <c r="M6" s="8"/>
      <c r="N6" s="9"/>
      <c r="O6" s="9"/>
      <c r="P6" s="10"/>
      <c r="Q6" s="7"/>
      <c r="R6" s="2"/>
    </row>
    <row r="7" customFormat="false" ht="15" hidden="false" customHeight="false" outlineLevel="0" collapsed="false">
      <c r="A7" s="2" t="s">
        <v>22</v>
      </c>
      <c r="B7" s="2" t="s">
        <v>23</v>
      </c>
      <c r="C7" s="2" t="s">
        <v>24</v>
      </c>
      <c r="D7" s="2" t="s">
        <v>25</v>
      </c>
      <c r="E7" s="2" t="s">
        <v>26</v>
      </c>
      <c r="F7" s="2" t="s">
        <v>27</v>
      </c>
      <c r="G7" s="2" t="s">
        <v>28</v>
      </c>
      <c r="H7" s="2" t="s">
        <v>29</v>
      </c>
      <c r="I7" s="11" t="n">
        <v>6</v>
      </c>
      <c r="J7" s="12" t="n">
        <v>1183</v>
      </c>
      <c r="K7" s="2" t="s">
        <v>30</v>
      </c>
      <c r="L7" s="11" t="n">
        <f aca="false">COUNTIF('Transaction Detail'!$A$2:$A$385,$R7)</f>
        <v>1</v>
      </c>
      <c r="M7" s="13" t="n">
        <v>0.1</v>
      </c>
      <c r="N7" s="12" t="n">
        <f aca="false">SUMIF('Transaction Detail'!$A$2:$A$385,$R7,'Transaction Detail'!$N$2:$N$385)</f>
        <v>1183</v>
      </c>
      <c r="O7" s="12" t="n">
        <f aca="false">SUMIF('Transaction Detail'!$A$2:$A$385,$R7,'Transaction Detail'!$O$2:$O$385)</f>
        <v>118.3</v>
      </c>
      <c r="P7" s="14" t="n">
        <f aca="false">IF(N7=0,"",O7/N7)</f>
        <v>0.1</v>
      </c>
      <c r="Q7" s="2"/>
      <c r="R7" s="2" t="s">
        <v>31</v>
      </c>
    </row>
    <row r="8" customFormat="false" ht="15" hidden="false" customHeight="false" outlineLevel="0" collapsed="false">
      <c r="A8" s="2" t="s">
        <v>22</v>
      </c>
      <c r="B8" s="2" t="s">
        <v>32</v>
      </c>
      <c r="C8" s="2" t="s">
        <v>24</v>
      </c>
      <c r="D8" s="2" t="s">
        <v>25</v>
      </c>
      <c r="E8" s="2" t="s">
        <v>26</v>
      </c>
      <c r="F8" s="2" t="s">
        <v>27</v>
      </c>
      <c r="G8" s="2" t="s">
        <v>33</v>
      </c>
      <c r="H8" s="2" t="s">
        <v>34</v>
      </c>
      <c r="I8" s="11" t="n">
        <v>6</v>
      </c>
      <c r="J8" s="12" t="n">
        <v>944</v>
      </c>
      <c r="K8" s="2" t="s">
        <v>30</v>
      </c>
      <c r="L8" s="11" t="n">
        <f aca="false">COUNTIF('Transaction Detail'!$A$2:$A$385,$R8)</f>
        <v>1</v>
      </c>
      <c r="M8" s="13" t="n">
        <v>0.1</v>
      </c>
      <c r="N8" s="12" t="n">
        <f aca="false">SUMIF('Transaction Detail'!$A$2:$A$385,$R8,'Transaction Detail'!$N$2:$N$385)</f>
        <v>934</v>
      </c>
      <c r="O8" s="12" t="n">
        <f aca="false">SUMIF('Transaction Detail'!$A$2:$A$385,$R8,'Transaction Detail'!$O$2:$O$385)</f>
        <v>93.4</v>
      </c>
      <c r="P8" s="14" t="n">
        <f aca="false">IF(N8=0,"",O8/N8)</f>
        <v>0.1</v>
      </c>
      <c r="Q8" s="2"/>
      <c r="R8" s="2" t="s">
        <v>35</v>
      </c>
    </row>
    <row r="9" customFormat="false" ht="15" hidden="false" customHeight="false" outlineLevel="0" collapsed="false">
      <c r="A9" s="2" t="s">
        <v>22</v>
      </c>
      <c r="B9" s="2" t="s">
        <v>36</v>
      </c>
      <c r="C9" s="2" t="s">
        <v>24</v>
      </c>
      <c r="D9" s="2" t="s">
        <v>25</v>
      </c>
      <c r="E9" s="2" t="s">
        <v>26</v>
      </c>
      <c r="F9" s="2" t="s">
        <v>37</v>
      </c>
      <c r="G9" s="2" t="s">
        <v>38</v>
      </c>
      <c r="H9" s="2" t="s">
        <v>39</v>
      </c>
      <c r="I9" s="11" t="n">
        <v>12</v>
      </c>
      <c r="J9" s="12" t="n">
        <v>1103.35</v>
      </c>
      <c r="K9" s="2" t="s">
        <v>40</v>
      </c>
      <c r="L9" s="11" t="n">
        <f aca="false">COUNTIF('Transaction Detail'!$A$2:$A$385,$R9)</f>
        <v>2</v>
      </c>
      <c r="M9" s="13" t="n">
        <v>0.1</v>
      </c>
      <c r="N9" s="12" t="n">
        <f aca="false">SUMIF('Transaction Detail'!$A$2:$A$385,$R9,'Transaction Detail'!$N$2:$N$385)</f>
        <v>163.6</v>
      </c>
      <c r="O9" s="12" t="n">
        <f aca="false">SUMIF('Transaction Detail'!$A$2:$A$385,$R9,'Transaction Detail'!$O$2:$O$385)</f>
        <v>16.36</v>
      </c>
      <c r="P9" s="14" t="n">
        <f aca="false">IF(N9=0,"",O9/N9)</f>
        <v>0.1</v>
      </c>
      <c r="Q9" s="2" t="s">
        <v>41</v>
      </c>
      <c r="R9" s="2" t="s">
        <v>42</v>
      </c>
    </row>
    <row r="10" customFormat="false" ht="15" hidden="false" customHeight="false" outlineLevel="0" collapsed="false">
      <c r="A10" s="2" t="s">
        <v>22</v>
      </c>
      <c r="B10" s="2" t="s">
        <v>43</v>
      </c>
      <c r="C10" s="2" t="s">
        <v>24</v>
      </c>
      <c r="D10" s="2" t="s">
        <v>25</v>
      </c>
      <c r="E10" s="2" t="s">
        <v>26</v>
      </c>
      <c r="F10" s="2" t="s">
        <v>44</v>
      </c>
      <c r="G10" s="2" t="s">
        <v>45</v>
      </c>
      <c r="H10" s="2" t="s">
        <v>46</v>
      </c>
      <c r="I10" s="11" t="n">
        <v>6</v>
      </c>
      <c r="J10" s="12" t="n">
        <v>1175</v>
      </c>
      <c r="K10" s="2" t="s">
        <v>47</v>
      </c>
      <c r="L10" s="11" t="n">
        <f aca="false">COUNTIF('Transaction Detail'!$A$2:$A$385,$R10)</f>
        <v>1</v>
      </c>
      <c r="M10" s="13" t="n">
        <v>0.12</v>
      </c>
      <c r="N10" s="12" t="n">
        <f aca="false">SUMIF('Transaction Detail'!$A$2:$A$385,$R10,'Transaction Detail'!$N$2:$N$385)</f>
        <v>1175</v>
      </c>
      <c r="O10" s="12" t="n">
        <f aca="false">SUMIF('Transaction Detail'!$A$2:$A$385,$R10,'Transaction Detail'!$O$2:$O$385)</f>
        <v>141</v>
      </c>
      <c r="P10" s="14" t="n">
        <f aca="false">IF(N10=0,"",O10/N10)</f>
        <v>0.12</v>
      </c>
      <c r="Q10" s="2"/>
      <c r="R10" s="2" t="s">
        <v>48</v>
      </c>
    </row>
    <row r="11" customFormat="false" ht="15" hidden="false" customHeight="false" outlineLevel="0" collapsed="false">
      <c r="A11" s="2" t="s">
        <v>22</v>
      </c>
      <c r="B11" s="2" t="s">
        <v>49</v>
      </c>
      <c r="C11" s="2" t="s">
        <v>24</v>
      </c>
      <c r="D11" s="2" t="s">
        <v>25</v>
      </c>
      <c r="E11" s="2" t="s">
        <v>26</v>
      </c>
      <c r="F11" s="2" t="s">
        <v>44</v>
      </c>
      <c r="G11" s="2" t="s">
        <v>50</v>
      </c>
      <c r="H11" s="2" t="s">
        <v>51</v>
      </c>
      <c r="I11" s="11" t="n">
        <v>6</v>
      </c>
      <c r="J11" s="12" t="n">
        <v>1935</v>
      </c>
      <c r="K11" s="2" t="s">
        <v>47</v>
      </c>
      <c r="L11" s="11" t="n">
        <f aca="false">COUNTIF('Transaction Detail'!$A$2:$A$385,$R11)</f>
        <v>3</v>
      </c>
      <c r="M11" s="13" t="n">
        <v>0.14</v>
      </c>
      <c r="N11" s="12" t="n">
        <f aca="false">SUMIF('Transaction Detail'!$A$2:$A$385,$R11,'Transaction Detail'!$N$2:$N$385)</f>
        <v>1413.29</v>
      </c>
      <c r="O11" s="12" t="n">
        <f aca="false">SUMIF('Transaction Detail'!$A$2:$A$385,$R11,'Transaction Detail'!$O$2:$O$385)</f>
        <v>197.86</v>
      </c>
      <c r="P11" s="14" t="n">
        <f aca="false">IF(N11=0,"",O11/N11)</f>
        <v>0.139999575458682</v>
      </c>
      <c r="Q11" s="2" t="s">
        <v>52</v>
      </c>
      <c r="R11" s="2" t="s">
        <v>53</v>
      </c>
    </row>
    <row r="12" customFormat="false" ht="15" hidden="false" customHeight="false" outlineLevel="0" collapsed="false">
      <c r="A12" s="2" t="s">
        <v>22</v>
      </c>
      <c r="B12" s="2" t="s">
        <v>54</v>
      </c>
      <c r="C12" s="2" t="s">
        <v>24</v>
      </c>
      <c r="D12" s="2" t="s">
        <v>25</v>
      </c>
      <c r="E12" s="2" t="s">
        <v>26</v>
      </c>
      <c r="F12" s="2" t="s">
        <v>44</v>
      </c>
      <c r="G12" s="2" t="s">
        <v>55</v>
      </c>
      <c r="H12" s="2" t="s">
        <v>56</v>
      </c>
      <c r="I12" s="11" t="n">
        <v>6</v>
      </c>
      <c r="J12" s="12" t="n">
        <v>4319</v>
      </c>
      <c r="K12" s="2" t="s">
        <v>47</v>
      </c>
      <c r="L12" s="11" t="n">
        <f aca="false">COUNTIF('Transaction Detail'!$A$2:$A$385,$R12)</f>
        <v>1</v>
      </c>
      <c r="M12" s="13" t="n">
        <v>0.1</v>
      </c>
      <c r="N12" s="12" t="n">
        <f aca="false">SUMIF('Transaction Detail'!$A$2:$A$385,$R12,'Transaction Detail'!$N$2:$N$385)</f>
        <v>4319</v>
      </c>
      <c r="O12" s="12" t="n">
        <f aca="false">SUMIF('Transaction Detail'!$A$2:$A$385,$R12,'Transaction Detail'!$O$2:$O$385)</f>
        <v>431.9</v>
      </c>
      <c r="P12" s="14" t="n">
        <f aca="false">IF(N12=0,"",O12/N12)</f>
        <v>0.1</v>
      </c>
      <c r="Q12" s="2"/>
      <c r="R12" s="2" t="s">
        <v>57</v>
      </c>
    </row>
    <row r="13" customFormat="false" ht="15" hidden="false" customHeight="false" outlineLevel="0" collapsed="false">
      <c r="A13" s="2" t="s">
        <v>22</v>
      </c>
      <c r="B13" s="2" t="s">
        <v>58</v>
      </c>
      <c r="C13" s="2" t="s">
        <v>24</v>
      </c>
      <c r="D13" s="2" t="s">
        <v>25</v>
      </c>
      <c r="E13" s="2" t="s">
        <v>26</v>
      </c>
      <c r="F13" s="2" t="s">
        <v>44</v>
      </c>
      <c r="G13" s="2" t="s">
        <v>59</v>
      </c>
      <c r="H13" s="2" t="s">
        <v>60</v>
      </c>
      <c r="I13" s="11" t="n">
        <v>6</v>
      </c>
      <c r="J13" s="12" t="n">
        <v>1071</v>
      </c>
      <c r="K13" s="2" t="s">
        <v>47</v>
      </c>
      <c r="L13" s="11" t="n">
        <f aca="false">COUNTIF('Transaction Detail'!$A$2:$A$385,$R13)</f>
        <v>1</v>
      </c>
      <c r="M13" s="13" t="n">
        <v>0.1</v>
      </c>
      <c r="N13" s="12" t="n">
        <f aca="false">SUMIF('Transaction Detail'!$A$2:$A$385,$R13,'Transaction Detail'!$N$2:$N$385)</f>
        <v>1071</v>
      </c>
      <c r="O13" s="12" t="n">
        <f aca="false">SUMIF('Transaction Detail'!$A$2:$A$385,$R13,'Transaction Detail'!$O$2:$O$385)</f>
        <v>107.1</v>
      </c>
      <c r="P13" s="14" t="n">
        <f aca="false">IF(N13=0,"",O13/N13)</f>
        <v>0.1</v>
      </c>
      <c r="Q13" s="2"/>
      <c r="R13" s="2" t="s">
        <v>61</v>
      </c>
    </row>
    <row r="14" customFormat="false" ht="15" hidden="false" customHeight="false" outlineLevel="0" collapsed="false">
      <c r="A14" s="2" t="s">
        <v>22</v>
      </c>
      <c r="B14" s="2" t="s">
        <v>62</v>
      </c>
      <c r="C14" s="2" t="s">
        <v>24</v>
      </c>
      <c r="D14" s="2" t="s">
        <v>25</v>
      </c>
      <c r="E14" s="2" t="s">
        <v>26</v>
      </c>
      <c r="F14" s="2" t="s">
        <v>37</v>
      </c>
      <c r="G14" s="2" t="s">
        <v>63</v>
      </c>
      <c r="H14" s="2" t="s">
        <v>60</v>
      </c>
      <c r="I14" s="11" t="n">
        <v>12</v>
      </c>
      <c r="J14" s="12" t="n">
        <v>2840.35</v>
      </c>
      <c r="K14" s="2" t="s">
        <v>40</v>
      </c>
      <c r="L14" s="11" t="n">
        <f aca="false">COUNTIF('Transaction Detail'!$A$2:$A$385,$R14)</f>
        <v>2</v>
      </c>
      <c r="M14" s="13" t="n">
        <v>0.1</v>
      </c>
      <c r="N14" s="12" t="n">
        <f aca="false">SUMIF('Transaction Detail'!$A$2:$A$385,$R14,'Transaction Detail'!$N$2:$N$385)</f>
        <v>2797</v>
      </c>
      <c r="O14" s="12" t="n">
        <f aca="false">SUMIF('Transaction Detail'!$A$2:$A$385,$R14,'Transaction Detail'!$O$2:$O$385)</f>
        <v>279.7</v>
      </c>
      <c r="P14" s="14" t="n">
        <f aca="false">IF(N14=0,"",O14/N14)</f>
        <v>0.1</v>
      </c>
      <c r="Q14" s="2" t="s">
        <v>64</v>
      </c>
      <c r="R14" s="2" t="s">
        <v>65</v>
      </c>
    </row>
    <row r="15" customFormat="false" ht="15" hidden="false" customHeight="false" outlineLevel="0" collapsed="false">
      <c r="A15" s="2" t="s">
        <v>22</v>
      </c>
      <c r="B15" s="2" t="s">
        <v>66</v>
      </c>
      <c r="C15" s="2" t="s">
        <v>24</v>
      </c>
      <c r="D15" s="2" t="s">
        <v>25</v>
      </c>
      <c r="E15" s="2" t="s">
        <v>26</v>
      </c>
      <c r="F15" s="2" t="s">
        <v>44</v>
      </c>
      <c r="G15" s="2" t="s">
        <v>67</v>
      </c>
      <c r="H15" s="2" t="s">
        <v>60</v>
      </c>
      <c r="I15" s="11" t="n">
        <v>6</v>
      </c>
      <c r="J15" s="12" t="n">
        <v>1568</v>
      </c>
      <c r="K15" s="2" t="s">
        <v>47</v>
      </c>
      <c r="L15" s="11" t="n">
        <f aca="false">COUNTIF('Transaction Detail'!$A$2:$A$385,$R15)</f>
        <v>1</v>
      </c>
      <c r="M15" s="13" t="n">
        <v>0.1</v>
      </c>
      <c r="N15" s="12" t="n">
        <f aca="false">SUMIF('Transaction Detail'!$A$2:$A$385,$R15,'Transaction Detail'!$N$2:$N$385)</f>
        <v>1568</v>
      </c>
      <c r="O15" s="12" t="n">
        <f aca="false">SUMIF('Transaction Detail'!$A$2:$A$385,$R15,'Transaction Detail'!$O$2:$O$385)</f>
        <v>156.8</v>
      </c>
      <c r="P15" s="14" t="n">
        <f aca="false">IF(N15=0,"",O15/N15)</f>
        <v>0.1</v>
      </c>
      <c r="Q15" s="2"/>
      <c r="R15" s="2" t="s">
        <v>68</v>
      </c>
    </row>
    <row r="16" customFormat="false" ht="15" hidden="false" customHeight="false" outlineLevel="0" collapsed="false">
      <c r="A16" s="2" t="s">
        <v>22</v>
      </c>
      <c r="B16" s="2" t="s">
        <v>69</v>
      </c>
      <c r="C16" s="2" t="s">
        <v>24</v>
      </c>
      <c r="D16" s="2" t="s">
        <v>25</v>
      </c>
      <c r="E16" s="2" t="s">
        <v>26</v>
      </c>
      <c r="F16" s="2" t="s">
        <v>37</v>
      </c>
      <c r="G16" s="2" t="s">
        <v>70</v>
      </c>
      <c r="H16" s="2" t="s">
        <v>71</v>
      </c>
      <c r="I16" s="11" t="n">
        <v>12</v>
      </c>
      <c r="J16" s="12" t="n">
        <v>2268</v>
      </c>
      <c r="K16" s="2" t="s">
        <v>40</v>
      </c>
      <c r="L16" s="11" t="n">
        <f aca="false">COUNTIF('Transaction Detail'!$A$2:$A$385,$R16)</f>
        <v>4</v>
      </c>
      <c r="M16" s="13" t="n">
        <v>0.1</v>
      </c>
      <c r="N16" s="12" t="n">
        <f aca="false">SUMIF('Transaction Detail'!$A$2:$A$385,$R16,'Transaction Detail'!$N$2:$N$385)</f>
        <v>2485</v>
      </c>
      <c r="O16" s="12" t="n">
        <f aca="false">SUMIF('Transaction Detail'!$A$2:$A$385,$R16,'Transaction Detail'!$O$2:$O$385)</f>
        <v>248.5</v>
      </c>
      <c r="P16" s="14" t="n">
        <f aca="false">IF(N16=0,"",O16/N16)</f>
        <v>0.1</v>
      </c>
      <c r="Q16" s="2" t="s">
        <v>72</v>
      </c>
      <c r="R16" s="2" t="s">
        <v>73</v>
      </c>
    </row>
    <row r="17" customFormat="false" ht="15" hidden="false" customHeight="false" outlineLevel="0" collapsed="false">
      <c r="A17" s="2" t="s">
        <v>22</v>
      </c>
      <c r="B17" s="2" t="s">
        <v>74</v>
      </c>
      <c r="C17" s="2" t="s">
        <v>24</v>
      </c>
      <c r="D17" s="2" t="s">
        <v>25</v>
      </c>
      <c r="E17" s="2" t="s">
        <v>26</v>
      </c>
      <c r="F17" s="2" t="s">
        <v>37</v>
      </c>
      <c r="G17" s="2" t="s">
        <v>75</v>
      </c>
      <c r="H17" s="2" t="s">
        <v>76</v>
      </c>
      <c r="I17" s="11" t="n">
        <v>12</v>
      </c>
      <c r="J17" s="12" t="n">
        <v>1122.35</v>
      </c>
      <c r="K17" s="2" t="s">
        <v>40</v>
      </c>
      <c r="L17" s="11" t="n">
        <f aca="false">COUNTIF('Transaction Detail'!$A$2:$A$385,$R17)</f>
        <v>2</v>
      </c>
      <c r="M17" s="13" t="n">
        <v>0.1</v>
      </c>
      <c r="N17" s="12" t="n">
        <f aca="false">SUMIF('Transaction Detail'!$A$2:$A$385,$R17,'Transaction Detail'!$N$2:$N$385)</f>
        <v>1079</v>
      </c>
      <c r="O17" s="12" t="n">
        <f aca="false">SUMIF('Transaction Detail'!$A$2:$A$385,$R17,'Transaction Detail'!$O$2:$O$385)</f>
        <v>107.9</v>
      </c>
      <c r="P17" s="14" t="n">
        <f aca="false">IF(N17=0,"",O17/N17)</f>
        <v>0.1</v>
      </c>
      <c r="Q17" s="2" t="s">
        <v>77</v>
      </c>
      <c r="R17" s="2" t="s">
        <v>78</v>
      </c>
    </row>
    <row r="18" customFormat="false" ht="15" hidden="false" customHeight="false" outlineLevel="0" collapsed="false">
      <c r="A18" s="2" t="s">
        <v>22</v>
      </c>
      <c r="B18" s="2" t="s">
        <v>79</v>
      </c>
      <c r="C18" s="2" t="s">
        <v>24</v>
      </c>
      <c r="D18" s="2" t="s">
        <v>25</v>
      </c>
      <c r="E18" s="2" t="s">
        <v>26</v>
      </c>
      <c r="F18" s="2" t="s">
        <v>27</v>
      </c>
      <c r="G18" s="2" t="s">
        <v>80</v>
      </c>
      <c r="H18" s="2" t="s">
        <v>81</v>
      </c>
      <c r="I18" s="11" t="n">
        <v>6</v>
      </c>
      <c r="J18" s="12" t="n">
        <v>820</v>
      </c>
      <c r="K18" s="2" t="s">
        <v>30</v>
      </c>
      <c r="L18" s="11" t="n">
        <f aca="false">COUNTIF('Transaction Detail'!$A$2:$A$385,$R18)</f>
        <v>1</v>
      </c>
      <c r="M18" s="13" t="n">
        <v>0.1</v>
      </c>
      <c r="N18" s="12" t="n">
        <f aca="false">SUMIF('Transaction Detail'!$A$2:$A$385,$R18,'Transaction Detail'!$N$2:$N$385)</f>
        <v>810</v>
      </c>
      <c r="O18" s="12" t="n">
        <f aca="false">SUMIF('Transaction Detail'!$A$2:$A$385,$R18,'Transaction Detail'!$O$2:$O$385)</f>
        <v>81</v>
      </c>
      <c r="P18" s="14" t="n">
        <f aca="false">IF(N18=0,"",O18/N18)</f>
        <v>0.1</v>
      </c>
      <c r="Q18" s="2"/>
      <c r="R18" s="2" t="s">
        <v>82</v>
      </c>
    </row>
    <row r="19" customFormat="false" ht="15" hidden="false" customHeight="false" outlineLevel="0" collapsed="false">
      <c r="A19" s="2" t="s">
        <v>22</v>
      </c>
      <c r="B19" s="2" t="s">
        <v>83</v>
      </c>
      <c r="C19" s="2" t="s">
        <v>24</v>
      </c>
      <c r="D19" s="2" t="s">
        <v>25</v>
      </c>
      <c r="E19" s="2" t="s">
        <v>26</v>
      </c>
      <c r="F19" s="2" t="s">
        <v>44</v>
      </c>
      <c r="G19" s="2" t="s">
        <v>84</v>
      </c>
      <c r="H19" s="2" t="s">
        <v>81</v>
      </c>
      <c r="I19" s="11" t="n">
        <v>6</v>
      </c>
      <c r="J19" s="12" t="n">
        <v>1760</v>
      </c>
      <c r="K19" s="2" t="s">
        <v>47</v>
      </c>
      <c r="L19" s="11" t="n">
        <f aca="false">COUNTIF('Transaction Detail'!$A$2:$A$385,$R19)</f>
        <v>2</v>
      </c>
      <c r="M19" s="13" t="n">
        <v>0.1</v>
      </c>
      <c r="N19" s="12" t="n">
        <f aca="false">SUMIF('Transaction Detail'!$A$2:$A$385,$R19,'Transaction Detail'!$N$2:$N$385)</f>
        <v>1674</v>
      </c>
      <c r="O19" s="12" t="n">
        <f aca="false">SUMIF('Transaction Detail'!$A$2:$A$385,$R19,'Transaction Detail'!$O$2:$O$385)</f>
        <v>167.4</v>
      </c>
      <c r="P19" s="14" t="n">
        <f aca="false">IF(N19=0,"",O19/N19)</f>
        <v>0.1</v>
      </c>
      <c r="Q19" s="2" t="s">
        <v>85</v>
      </c>
      <c r="R19" s="2" t="s">
        <v>86</v>
      </c>
    </row>
    <row r="20" customFormat="false" ht="15" hidden="false" customHeight="false" outlineLevel="0" collapsed="false">
      <c r="A20" s="2" t="s">
        <v>22</v>
      </c>
      <c r="B20" s="2" t="s">
        <v>87</v>
      </c>
      <c r="C20" s="2" t="s">
        <v>24</v>
      </c>
      <c r="D20" s="2" t="s">
        <v>25</v>
      </c>
      <c r="E20" s="2" t="s">
        <v>26</v>
      </c>
      <c r="F20" s="2" t="s">
        <v>27</v>
      </c>
      <c r="G20" s="2" t="s">
        <v>88</v>
      </c>
      <c r="H20" s="2" t="s">
        <v>89</v>
      </c>
      <c r="I20" s="11" t="n">
        <v>6</v>
      </c>
      <c r="J20" s="12" t="n">
        <v>1460</v>
      </c>
      <c r="K20" s="2" t="s">
        <v>30</v>
      </c>
      <c r="L20" s="11" t="n">
        <f aca="false">COUNTIF('Transaction Detail'!$A$2:$A$385,$R20)</f>
        <v>1</v>
      </c>
      <c r="M20" s="13" t="n">
        <v>0.1</v>
      </c>
      <c r="N20" s="12" t="n">
        <f aca="false">SUMIF('Transaction Detail'!$A$2:$A$385,$R20,'Transaction Detail'!$N$2:$N$385)</f>
        <v>1450</v>
      </c>
      <c r="O20" s="12" t="n">
        <f aca="false">SUMIF('Transaction Detail'!$A$2:$A$385,$R20,'Transaction Detail'!$O$2:$O$385)</f>
        <v>145</v>
      </c>
      <c r="P20" s="14" t="n">
        <f aca="false">IF(N20=0,"",O20/N20)</f>
        <v>0.1</v>
      </c>
      <c r="Q20" s="2"/>
      <c r="R20" s="2" t="s">
        <v>90</v>
      </c>
    </row>
    <row r="21" customFormat="false" ht="15" hidden="false" customHeight="false" outlineLevel="0" collapsed="false">
      <c r="A21" s="2" t="s">
        <v>22</v>
      </c>
      <c r="B21" s="2" t="s">
        <v>91</v>
      </c>
      <c r="C21" s="2" t="s">
        <v>24</v>
      </c>
      <c r="D21" s="2" t="s">
        <v>25</v>
      </c>
      <c r="E21" s="2" t="s">
        <v>26</v>
      </c>
      <c r="F21" s="2" t="s">
        <v>44</v>
      </c>
      <c r="G21" s="2" t="s">
        <v>92</v>
      </c>
      <c r="H21" s="2" t="s">
        <v>89</v>
      </c>
      <c r="I21" s="11" t="n">
        <v>6</v>
      </c>
      <c r="J21" s="12" t="n">
        <v>1770</v>
      </c>
      <c r="K21" s="2" t="s">
        <v>47</v>
      </c>
      <c r="L21" s="11" t="n">
        <f aca="false">COUNTIF('Transaction Detail'!$A$2:$A$385,$R21)</f>
        <v>1</v>
      </c>
      <c r="M21" s="13" t="n">
        <v>0.12</v>
      </c>
      <c r="N21" s="12" t="n">
        <f aca="false">SUMIF('Transaction Detail'!$A$2:$A$385,$R21,'Transaction Detail'!$N$2:$N$385)</f>
        <v>1770</v>
      </c>
      <c r="O21" s="12" t="n">
        <f aca="false">SUMIF('Transaction Detail'!$A$2:$A$385,$R21,'Transaction Detail'!$O$2:$O$385)</f>
        <v>212.4</v>
      </c>
      <c r="P21" s="14" t="n">
        <f aca="false">IF(N21=0,"",O21/N21)</f>
        <v>0.12</v>
      </c>
      <c r="Q21" s="2"/>
      <c r="R21" s="2" t="s">
        <v>93</v>
      </c>
    </row>
    <row r="22" customFormat="false" ht="15" hidden="false" customHeight="false" outlineLevel="0" collapsed="false">
      <c r="A22" s="2" t="s">
        <v>22</v>
      </c>
      <c r="B22" s="2" t="s">
        <v>94</v>
      </c>
      <c r="C22" s="2" t="s">
        <v>24</v>
      </c>
      <c r="D22" s="2" t="s">
        <v>25</v>
      </c>
      <c r="E22" s="2" t="s">
        <v>26</v>
      </c>
      <c r="F22" s="2" t="s">
        <v>44</v>
      </c>
      <c r="G22" s="2" t="s">
        <v>95</v>
      </c>
      <c r="H22" s="2" t="s">
        <v>96</v>
      </c>
      <c r="I22" s="11" t="n">
        <v>6</v>
      </c>
      <c r="J22" s="12" t="n">
        <v>370</v>
      </c>
      <c r="K22" s="2" t="s">
        <v>47</v>
      </c>
      <c r="L22" s="11" t="n">
        <f aca="false">COUNTIF('Transaction Detail'!$A$2:$A$385,$R22)</f>
        <v>1</v>
      </c>
      <c r="M22" s="13" t="n">
        <v>0.1</v>
      </c>
      <c r="N22" s="12" t="n">
        <f aca="false">SUMIF('Transaction Detail'!$A$2:$A$385,$R22,'Transaction Detail'!$N$2:$N$385)</f>
        <v>370</v>
      </c>
      <c r="O22" s="12" t="n">
        <f aca="false">SUMIF('Transaction Detail'!$A$2:$A$385,$R22,'Transaction Detail'!$O$2:$O$385)</f>
        <v>37</v>
      </c>
      <c r="P22" s="14" t="n">
        <f aca="false">IF(N22=0,"",O22/N22)</f>
        <v>0.1</v>
      </c>
      <c r="Q22" s="2"/>
      <c r="R22" s="2" t="s">
        <v>97</v>
      </c>
    </row>
    <row r="23" customFormat="false" ht="15" hidden="false" customHeight="false" outlineLevel="0" collapsed="false">
      <c r="A23" s="2" t="s">
        <v>22</v>
      </c>
      <c r="B23" s="2" t="s">
        <v>98</v>
      </c>
      <c r="C23" s="2" t="s">
        <v>24</v>
      </c>
      <c r="D23" s="2" t="s">
        <v>25</v>
      </c>
      <c r="E23" s="2" t="s">
        <v>26</v>
      </c>
      <c r="F23" s="2" t="s">
        <v>37</v>
      </c>
      <c r="G23" s="2" t="s">
        <v>99</v>
      </c>
      <c r="H23" s="2" t="s">
        <v>100</v>
      </c>
      <c r="I23" s="11" t="n">
        <v>6</v>
      </c>
      <c r="J23" s="12" t="n">
        <v>1406.35</v>
      </c>
      <c r="K23" s="2" t="s">
        <v>40</v>
      </c>
      <c r="L23" s="11" t="n">
        <f aca="false">COUNTIF('Transaction Detail'!$A$2:$A$385,$R23)</f>
        <v>2</v>
      </c>
      <c r="M23" s="13" t="n">
        <v>0.1</v>
      </c>
      <c r="N23" s="12" t="n">
        <f aca="false">SUMIF('Transaction Detail'!$A$2:$A$385,$R23,'Transaction Detail'!$N$2:$N$385)</f>
        <v>1373</v>
      </c>
      <c r="O23" s="12" t="n">
        <f aca="false">SUMIF('Transaction Detail'!$A$2:$A$385,$R23,'Transaction Detail'!$O$2:$O$385)</f>
        <v>137.3</v>
      </c>
      <c r="P23" s="14" t="n">
        <f aca="false">IF(N23=0,"",O23/N23)</f>
        <v>0.1</v>
      </c>
      <c r="Q23" s="2" t="s">
        <v>101</v>
      </c>
      <c r="R23" s="2" t="s">
        <v>102</v>
      </c>
    </row>
    <row r="24" customFormat="false" ht="15" hidden="false" customHeight="false" outlineLevel="0" collapsed="false">
      <c r="A24" s="2" t="s">
        <v>22</v>
      </c>
      <c r="B24" s="2" t="s">
        <v>103</v>
      </c>
      <c r="C24" s="2" t="s">
        <v>24</v>
      </c>
      <c r="D24" s="2" t="s">
        <v>25</v>
      </c>
      <c r="E24" s="2" t="s">
        <v>26</v>
      </c>
      <c r="F24" s="2" t="s">
        <v>44</v>
      </c>
      <c r="G24" s="2" t="s">
        <v>104</v>
      </c>
      <c r="H24" s="2" t="s">
        <v>96</v>
      </c>
      <c r="I24" s="11" t="n">
        <v>6</v>
      </c>
      <c r="J24" s="12" t="n">
        <v>1994</v>
      </c>
      <c r="K24" s="2" t="s">
        <v>47</v>
      </c>
      <c r="L24" s="11" t="n">
        <f aca="false">COUNTIF('Transaction Detail'!$A$2:$A$385,$R24)</f>
        <v>1</v>
      </c>
      <c r="M24" s="13" t="n">
        <v>0.1</v>
      </c>
      <c r="N24" s="12" t="n">
        <f aca="false">SUMIF('Transaction Detail'!$A$2:$A$385,$R24,'Transaction Detail'!$N$2:$N$385)</f>
        <v>1994</v>
      </c>
      <c r="O24" s="12" t="n">
        <f aca="false">SUMIF('Transaction Detail'!$A$2:$A$385,$R24,'Transaction Detail'!$O$2:$O$385)</f>
        <v>199.4</v>
      </c>
      <c r="P24" s="14" t="n">
        <f aca="false">IF(N24=0,"",O24/N24)</f>
        <v>0.1</v>
      </c>
      <c r="Q24" s="2"/>
      <c r="R24" s="2" t="s">
        <v>105</v>
      </c>
    </row>
    <row r="25" customFormat="false" ht="15" hidden="false" customHeight="false" outlineLevel="0" collapsed="false">
      <c r="A25" s="15"/>
      <c r="B25" s="15" t="s">
        <v>106</v>
      </c>
      <c r="C25" s="15"/>
      <c r="D25" s="15"/>
      <c r="E25" s="15"/>
      <c r="F25" s="15"/>
      <c r="G25" s="15"/>
      <c r="H25" s="15"/>
      <c r="I25" s="16"/>
      <c r="J25" s="17" t="n">
        <f aca="false">SUM(J7:J24)</f>
        <v>29109.4</v>
      </c>
      <c r="K25" s="15"/>
      <c r="L25" s="16"/>
      <c r="M25" s="16"/>
      <c r="N25" s="17" t="n">
        <f aca="false">SUM(N7:N24)</f>
        <v>27628.89</v>
      </c>
      <c r="O25" s="17" t="n">
        <f aca="false">SUM(O7:O24)</f>
        <v>2878.32</v>
      </c>
      <c r="P25" s="18" t="n">
        <f aca="false">IF(N25=0,"",O25/N25)</f>
        <v>0.104177909427415</v>
      </c>
      <c r="Q25" s="15"/>
      <c r="R25" s="2"/>
    </row>
    <row r="26" customFormat="false" ht="15" hidden="false" customHeight="false" outlineLevel="0" collapsed="false">
      <c r="A26" s="2"/>
      <c r="B26" s="2"/>
      <c r="C26" s="2"/>
      <c r="D26" s="2"/>
      <c r="E26" s="2"/>
      <c r="F26" s="2"/>
      <c r="G26" s="2"/>
      <c r="H26" s="2"/>
      <c r="I26" s="11"/>
      <c r="J26" s="12"/>
      <c r="K26" s="2"/>
      <c r="L26" s="11"/>
      <c r="M26" s="11"/>
      <c r="N26" s="12"/>
      <c r="O26" s="12"/>
      <c r="P26" s="14"/>
      <c r="Q26" s="2"/>
      <c r="R26" s="2"/>
    </row>
    <row r="27" customFormat="false" ht="15" hidden="false" customHeight="false" outlineLevel="0" collapsed="false">
      <c r="A27" s="6" t="s">
        <v>107</v>
      </c>
      <c r="B27" s="7"/>
      <c r="C27" s="7"/>
      <c r="D27" s="7"/>
      <c r="E27" s="7"/>
      <c r="F27" s="7"/>
      <c r="G27" s="7"/>
      <c r="H27" s="7"/>
      <c r="I27" s="8"/>
      <c r="J27" s="9"/>
      <c r="K27" s="7"/>
      <c r="L27" s="8"/>
      <c r="M27" s="8"/>
      <c r="N27" s="9"/>
      <c r="O27" s="9"/>
      <c r="P27" s="10"/>
      <c r="Q27" s="7"/>
      <c r="R27" s="2"/>
    </row>
    <row r="28" customFormat="false" ht="15" hidden="false" customHeight="false" outlineLevel="0" collapsed="false">
      <c r="A28" s="19" t="s">
        <v>22</v>
      </c>
      <c r="B28" s="19" t="s">
        <v>108</v>
      </c>
      <c r="C28" s="19" t="s">
        <v>109</v>
      </c>
      <c r="D28" s="19" t="s">
        <v>110</v>
      </c>
      <c r="E28" s="19" t="s">
        <v>26</v>
      </c>
      <c r="F28" s="19" t="s">
        <v>44</v>
      </c>
      <c r="G28" s="19" t="s">
        <v>111</v>
      </c>
      <c r="H28" s="19" t="s">
        <v>29</v>
      </c>
      <c r="I28" s="20" t="n">
        <v>6</v>
      </c>
      <c r="J28" s="21" t="n">
        <v>940</v>
      </c>
      <c r="K28" s="19" t="s">
        <v>47</v>
      </c>
      <c r="L28" s="20" t="n">
        <f aca="false">COUNTIF('Transaction Detail'!$A$2:$A$385,$R28)</f>
        <v>0</v>
      </c>
      <c r="M28" s="20"/>
      <c r="N28" s="21" t="n">
        <f aca="false">SUMIF('Transaction Detail'!$A$2:$A$385,$R28,'Transaction Detail'!$N$2:$N$385)</f>
        <v>0</v>
      </c>
      <c r="O28" s="21" t="n">
        <f aca="false">SUMIF('Transaction Detail'!$A$2:$A$385,$R28,'Transaction Detail'!$O$2:$O$385)</f>
        <v>0</v>
      </c>
      <c r="P28" s="22" t="str">
        <f aca="false">IF(N28=0,"",O28/N28)</f>
        <v/>
      </c>
      <c r="Q28" s="19" t="s">
        <v>112</v>
      </c>
      <c r="R28" s="2" t="s">
        <v>113</v>
      </c>
    </row>
    <row r="29" customFormat="false" ht="15" hidden="false" customHeight="false" outlineLevel="0" collapsed="false">
      <c r="A29" s="19" t="s">
        <v>22</v>
      </c>
      <c r="B29" s="19" t="s">
        <v>114</v>
      </c>
      <c r="C29" s="19" t="s">
        <v>109</v>
      </c>
      <c r="D29" s="19" t="s">
        <v>110</v>
      </c>
      <c r="E29" s="19" t="s">
        <v>26</v>
      </c>
      <c r="F29" s="19" t="s">
        <v>44</v>
      </c>
      <c r="G29" s="19" t="s">
        <v>115</v>
      </c>
      <c r="H29" s="19" t="s">
        <v>39</v>
      </c>
      <c r="I29" s="20" t="n">
        <v>6</v>
      </c>
      <c r="J29" s="21" t="n">
        <v>1217</v>
      </c>
      <c r="K29" s="19" t="s">
        <v>47</v>
      </c>
      <c r="L29" s="20" t="n">
        <f aca="false">COUNTIF('Transaction Detail'!$A$2:$A$385,$R29)</f>
        <v>0</v>
      </c>
      <c r="M29" s="20"/>
      <c r="N29" s="21" t="n">
        <f aca="false">SUMIF('Transaction Detail'!$A$2:$A$385,$R29,'Transaction Detail'!$N$2:$N$385)</f>
        <v>0</v>
      </c>
      <c r="O29" s="21" t="n">
        <f aca="false">SUMIF('Transaction Detail'!$A$2:$A$385,$R29,'Transaction Detail'!$O$2:$O$385)</f>
        <v>0</v>
      </c>
      <c r="P29" s="22" t="str">
        <f aca="false">IF(N29=0,"",O29/N29)</f>
        <v/>
      </c>
      <c r="Q29" s="19" t="s">
        <v>112</v>
      </c>
      <c r="R29" s="2" t="s">
        <v>116</v>
      </c>
    </row>
    <row r="30" customFormat="false" ht="15" hidden="false" customHeight="false" outlineLevel="0" collapsed="false">
      <c r="A30" s="19" t="s">
        <v>22</v>
      </c>
      <c r="B30" s="19" t="s">
        <v>117</v>
      </c>
      <c r="C30" s="19" t="s">
        <v>109</v>
      </c>
      <c r="D30" s="19" t="s">
        <v>110</v>
      </c>
      <c r="E30" s="19" t="s">
        <v>118</v>
      </c>
      <c r="F30" s="19" t="s">
        <v>44</v>
      </c>
      <c r="G30" s="19" t="s">
        <v>119</v>
      </c>
      <c r="H30" s="19" t="s">
        <v>120</v>
      </c>
      <c r="I30" s="20" t="n">
        <v>12</v>
      </c>
      <c r="J30" s="21" t="n">
        <v>719.12</v>
      </c>
      <c r="K30" s="19" t="s">
        <v>47</v>
      </c>
      <c r="L30" s="20" t="n">
        <f aca="false">COUNTIF('Transaction Detail'!$A$2:$A$385,$R30)</f>
        <v>0</v>
      </c>
      <c r="M30" s="20"/>
      <c r="N30" s="21" t="n">
        <f aca="false">SUMIF('Transaction Detail'!$A$2:$A$385,$R30,'Transaction Detail'!$N$2:$N$385)</f>
        <v>0</v>
      </c>
      <c r="O30" s="21" t="n">
        <f aca="false">SUMIF('Transaction Detail'!$A$2:$A$385,$R30,'Transaction Detail'!$O$2:$O$385)</f>
        <v>0</v>
      </c>
      <c r="P30" s="22" t="str">
        <f aca="false">IF(N30=0,"",O30/N30)</f>
        <v/>
      </c>
      <c r="Q30" s="19" t="s">
        <v>112</v>
      </c>
      <c r="R30" s="2" t="s">
        <v>121</v>
      </c>
    </row>
    <row r="31" customFormat="false" ht="15" hidden="false" customHeight="false" outlineLevel="0" collapsed="false">
      <c r="A31" s="19" t="s">
        <v>22</v>
      </c>
      <c r="B31" s="19" t="s">
        <v>122</v>
      </c>
      <c r="C31" s="19" t="s">
        <v>109</v>
      </c>
      <c r="D31" s="19" t="s">
        <v>110</v>
      </c>
      <c r="E31" s="19" t="s">
        <v>26</v>
      </c>
      <c r="F31" s="19" t="s">
        <v>44</v>
      </c>
      <c r="G31" s="19" t="s">
        <v>123</v>
      </c>
      <c r="H31" s="19" t="s">
        <v>120</v>
      </c>
      <c r="I31" s="20" t="n">
        <v>6</v>
      </c>
      <c r="J31" s="21" t="n">
        <v>1023</v>
      </c>
      <c r="K31" s="19" t="s">
        <v>47</v>
      </c>
      <c r="L31" s="20" t="n">
        <f aca="false">COUNTIF('Transaction Detail'!$A$2:$A$385,$R31)</f>
        <v>0</v>
      </c>
      <c r="M31" s="20"/>
      <c r="N31" s="21" t="n">
        <f aca="false">SUMIF('Transaction Detail'!$A$2:$A$385,$R31,'Transaction Detail'!$N$2:$N$385)</f>
        <v>0</v>
      </c>
      <c r="O31" s="21" t="n">
        <f aca="false">SUMIF('Transaction Detail'!$A$2:$A$385,$R31,'Transaction Detail'!$O$2:$O$385)</f>
        <v>0</v>
      </c>
      <c r="P31" s="22" t="str">
        <f aca="false">IF(N31=0,"",O31/N31)</f>
        <v/>
      </c>
      <c r="Q31" s="19" t="s">
        <v>112</v>
      </c>
      <c r="R31" s="2" t="s">
        <v>124</v>
      </c>
    </row>
    <row r="32" customFormat="false" ht="15" hidden="false" customHeight="false" outlineLevel="0" collapsed="false">
      <c r="A32" s="19" t="s">
        <v>22</v>
      </c>
      <c r="B32" s="19" t="s">
        <v>125</v>
      </c>
      <c r="C32" s="19" t="s">
        <v>109</v>
      </c>
      <c r="D32" s="19" t="s">
        <v>110</v>
      </c>
      <c r="E32" s="19" t="s">
        <v>26</v>
      </c>
      <c r="F32" s="19" t="s">
        <v>44</v>
      </c>
      <c r="G32" s="19" t="s">
        <v>126</v>
      </c>
      <c r="H32" s="19" t="s">
        <v>34</v>
      </c>
      <c r="I32" s="20" t="n">
        <v>6</v>
      </c>
      <c r="J32" s="21" t="n">
        <v>3495</v>
      </c>
      <c r="K32" s="19" t="s">
        <v>47</v>
      </c>
      <c r="L32" s="20" t="n">
        <f aca="false">COUNTIF('Transaction Detail'!$A$2:$A$385,$R32)</f>
        <v>0</v>
      </c>
      <c r="M32" s="20"/>
      <c r="N32" s="21" t="n">
        <f aca="false">SUMIF('Transaction Detail'!$A$2:$A$385,$R32,'Transaction Detail'!$N$2:$N$385)</f>
        <v>0</v>
      </c>
      <c r="O32" s="21" t="n">
        <f aca="false">SUMIF('Transaction Detail'!$A$2:$A$385,$R32,'Transaction Detail'!$O$2:$O$385)</f>
        <v>0</v>
      </c>
      <c r="P32" s="22" t="str">
        <f aca="false">IF(N32=0,"",O32/N32)</f>
        <v/>
      </c>
      <c r="Q32" s="19" t="s">
        <v>112</v>
      </c>
      <c r="R32" s="2" t="s">
        <v>127</v>
      </c>
    </row>
    <row r="33" customFormat="false" ht="15" hidden="false" customHeight="false" outlineLevel="0" collapsed="false">
      <c r="A33" s="2" t="s">
        <v>22</v>
      </c>
      <c r="B33" s="2" t="s">
        <v>128</v>
      </c>
      <c r="C33" s="2" t="s">
        <v>109</v>
      </c>
      <c r="D33" s="2" t="s">
        <v>110</v>
      </c>
      <c r="E33" s="2" t="s">
        <v>26</v>
      </c>
      <c r="F33" s="2" t="s">
        <v>44</v>
      </c>
      <c r="G33" s="2" t="s">
        <v>129</v>
      </c>
      <c r="H33" s="2" t="s">
        <v>46</v>
      </c>
      <c r="I33" s="11" t="n">
        <v>6</v>
      </c>
      <c r="J33" s="12" t="n">
        <v>2276</v>
      </c>
      <c r="K33" s="2" t="s">
        <v>47</v>
      </c>
      <c r="L33" s="11" t="n">
        <f aca="false">COUNTIF('Transaction Detail'!$A$2:$A$385,$R33)</f>
        <v>1</v>
      </c>
      <c r="M33" s="13" t="n">
        <v>0.1</v>
      </c>
      <c r="N33" s="12" t="n">
        <f aca="false">SUMIF('Transaction Detail'!$A$2:$A$385,$R33,'Transaction Detail'!$N$2:$N$385)</f>
        <v>2276</v>
      </c>
      <c r="O33" s="12" t="n">
        <f aca="false">SUMIF('Transaction Detail'!$A$2:$A$385,$R33,'Transaction Detail'!$O$2:$O$385)</f>
        <v>227.6</v>
      </c>
      <c r="P33" s="14" t="n">
        <f aca="false">IF(N33=0,"",O33/N33)</f>
        <v>0.1</v>
      </c>
      <c r="Q33" s="2"/>
      <c r="R33" s="2" t="s">
        <v>130</v>
      </c>
    </row>
    <row r="34" customFormat="false" ht="15" hidden="false" customHeight="false" outlineLevel="0" collapsed="false">
      <c r="A34" s="2" t="s">
        <v>22</v>
      </c>
      <c r="B34" s="2" t="s">
        <v>131</v>
      </c>
      <c r="C34" s="2" t="s">
        <v>109</v>
      </c>
      <c r="D34" s="2" t="s">
        <v>110</v>
      </c>
      <c r="E34" s="2" t="s">
        <v>26</v>
      </c>
      <c r="F34" s="2" t="s">
        <v>44</v>
      </c>
      <c r="G34" s="2" t="s">
        <v>132</v>
      </c>
      <c r="H34" s="2" t="s">
        <v>46</v>
      </c>
      <c r="I34" s="11" t="n">
        <v>6</v>
      </c>
      <c r="J34" s="12" t="n">
        <v>854</v>
      </c>
      <c r="K34" s="2" t="s">
        <v>47</v>
      </c>
      <c r="L34" s="11" t="n">
        <f aca="false">COUNTIF('Transaction Detail'!$A$2:$A$385,$R34)</f>
        <v>1</v>
      </c>
      <c r="M34" s="13" t="n">
        <v>0.1</v>
      </c>
      <c r="N34" s="12" t="n">
        <f aca="false">SUMIF('Transaction Detail'!$A$2:$A$385,$R34,'Transaction Detail'!$N$2:$N$385)</f>
        <v>854</v>
      </c>
      <c r="O34" s="12" t="n">
        <f aca="false">SUMIF('Transaction Detail'!$A$2:$A$385,$R34,'Transaction Detail'!$O$2:$O$385)</f>
        <v>85.4</v>
      </c>
      <c r="P34" s="14" t="n">
        <f aca="false">IF(N34=0,"",O34/N34)</f>
        <v>0.1</v>
      </c>
      <c r="Q34" s="2"/>
      <c r="R34" s="2" t="s">
        <v>133</v>
      </c>
    </row>
    <row r="35" customFormat="false" ht="15" hidden="false" customHeight="false" outlineLevel="0" collapsed="false">
      <c r="A35" s="2" t="s">
        <v>22</v>
      </c>
      <c r="B35" s="2" t="s">
        <v>134</v>
      </c>
      <c r="C35" s="2" t="s">
        <v>109</v>
      </c>
      <c r="D35" s="2" t="s">
        <v>110</v>
      </c>
      <c r="E35" s="2" t="s">
        <v>26</v>
      </c>
      <c r="F35" s="2" t="s">
        <v>44</v>
      </c>
      <c r="G35" s="2" t="s">
        <v>135</v>
      </c>
      <c r="H35" s="2" t="s">
        <v>136</v>
      </c>
      <c r="I35" s="11" t="n">
        <v>6</v>
      </c>
      <c r="J35" s="12" t="n">
        <v>1956</v>
      </c>
      <c r="K35" s="2" t="s">
        <v>47</v>
      </c>
      <c r="L35" s="11" t="n">
        <f aca="false">COUNTIF('Transaction Detail'!$A$2:$A$385,$R35)</f>
        <v>2</v>
      </c>
      <c r="M35" s="13" t="n">
        <v>0.1</v>
      </c>
      <c r="N35" s="12" t="n">
        <f aca="false">SUMIF('Transaction Detail'!$A$2:$A$385,$R35,'Transaction Detail'!$N$2:$N$385)</f>
        <v>1355.77</v>
      </c>
      <c r="O35" s="12" t="n">
        <f aca="false">SUMIF('Transaction Detail'!$A$2:$A$385,$R35,'Transaction Detail'!$O$2:$O$385)</f>
        <v>135.58</v>
      </c>
      <c r="P35" s="14" t="n">
        <f aca="false">IF(N35=0,"",O35/N35)</f>
        <v>0.100002212764702</v>
      </c>
      <c r="Q35" s="2" t="s">
        <v>137</v>
      </c>
      <c r="R35" s="2" t="s">
        <v>138</v>
      </c>
    </row>
    <row r="36" customFormat="false" ht="15" hidden="false" customHeight="false" outlineLevel="0" collapsed="false">
      <c r="A36" s="2" t="s">
        <v>22</v>
      </c>
      <c r="B36" s="2" t="s">
        <v>139</v>
      </c>
      <c r="C36" s="2" t="s">
        <v>109</v>
      </c>
      <c r="D36" s="2" t="s">
        <v>110</v>
      </c>
      <c r="E36" s="2" t="s">
        <v>26</v>
      </c>
      <c r="F36" s="2" t="s">
        <v>44</v>
      </c>
      <c r="G36" s="2" t="s">
        <v>140</v>
      </c>
      <c r="H36" s="2" t="s">
        <v>51</v>
      </c>
      <c r="I36" s="11" t="n">
        <v>6</v>
      </c>
      <c r="J36" s="12" t="n">
        <v>2305</v>
      </c>
      <c r="K36" s="2" t="s">
        <v>47</v>
      </c>
      <c r="L36" s="11" t="n">
        <f aca="false">COUNTIF('Transaction Detail'!$A$2:$A$385,$R36)</f>
        <v>1</v>
      </c>
      <c r="M36" s="13" t="n">
        <v>0.1</v>
      </c>
      <c r="N36" s="12" t="n">
        <f aca="false">SUMIF('Transaction Detail'!$A$2:$A$385,$R36,'Transaction Detail'!$N$2:$N$385)</f>
        <v>2305</v>
      </c>
      <c r="O36" s="12" t="n">
        <f aca="false">SUMIF('Transaction Detail'!$A$2:$A$385,$R36,'Transaction Detail'!$O$2:$O$385)</f>
        <v>230.5</v>
      </c>
      <c r="P36" s="14" t="n">
        <f aca="false">IF(N36=0,"",O36/N36)</f>
        <v>0.1</v>
      </c>
      <c r="Q36" s="2"/>
      <c r="R36" s="2" t="s">
        <v>141</v>
      </c>
    </row>
    <row r="37" customFormat="false" ht="15" hidden="false" customHeight="false" outlineLevel="0" collapsed="false">
      <c r="A37" s="19" t="s">
        <v>22</v>
      </c>
      <c r="B37" s="19" t="s">
        <v>142</v>
      </c>
      <c r="C37" s="19" t="s">
        <v>109</v>
      </c>
      <c r="D37" s="19" t="s">
        <v>110</v>
      </c>
      <c r="E37" s="19" t="s">
        <v>118</v>
      </c>
      <c r="F37" s="19" t="s">
        <v>44</v>
      </c>
      <c r="G37" s="19" t="s">
        <v>143</v>
      </c>
      <c r="H37" s="19" t="s">
        <v>144</v>
      </c>
      <c r="I37" s="20" t="n">
        <v>12</v>
      </c>
      <c r="J37" s="21" t="n">
        <v>688.82</v>
      </c>
      <c r="K37" s="19" t="s">
        <v>47</v>
      </c>
      <c r="L37" s="20" t="n">
        <f aca="false">COUNTIF('Transaction Detail'!$A$2:$A$385,$R37)</f>
        <v>0</v>
      </c>
      <c r="M37" s="20"/>
      <c r="N37" s="21" t="n">
        <f aca="false">SUMIF('Transaction Detail'!$A$2:$A$385,$R37,'Transaction Detail'!$N$2:$N$385)</f>
        <v>0</v>
      </c>
      <c r="O37" s="21" t="n">
        <f aca="false">SUMIF('Transaction Detail'!$A$2:$A$385,$R37,'Transaction Detail'!$O$2:$O$385)</f>
        <v>0</v>
      </c>
      <c r="P37" s="22" t="str">
        <f aca="false">IF(N37=0,"",O37/N37)</f>
        <v/>
      </c>
      <c r="Q37" s="19" t="s">
        <v>112</v>
      </c>
      <c r="R37" s="2" t="s">
        <v>145</v>
      </c>
    </row>
    <row r="38" customFormat="false" ht="15" hidden="false" customHeight="false" outlineLevel="0" collapsed="false">
      <c r="A38" s="2" t="s">
        <v>22</v>
      </c>
      <c r="B38" s="2" t="s">
        <v>146</v>
      </c>
      <c r="C38" s="2" t="s">
        <v>109</v>
      </c>
      <c r="D38" s="2" t="s">
        <v>110</v>
      </c>
      <c r="E38" s="2" t="s">
        <v>26</v>
      </c>
      <c r="F38" s="2" t="s">
        <v>44</v>
      </c>
      <c r="G38" s="2" t="s">
        <v>147</v>
      </c>
      <c r="H38" s="2" t="s">
        <v>148</v>
      </c>
      <c r="I38" s="11" t="n">
        <v>6</v>
      </c>
      <c r="J38" s="12" t="n">
        <v>2194</v>
      </c>
      <c r="K38" s="2" t="s">
        <v>47</v>
      </c>
      <c r="L38" s="11" t="n">
        <f aca="false">COUNTIF('Transaction Detail'!$A$2:$A$385,$R38)</f>
        <v>1</v>
      </c>
      <c r="M38" s="13" t="n">
        <v>0.1</v>
      </c>
      <c r="N38" s="12" t="n">
        <f aca="false">SUMIF('Transaction Detail'!$A$2:$A$385,$R38,'Transaction Detail'!$N$2:$N$385)</f>
        <v>2194</v>
      </c>
      <c r="O38" s="12" t="n">
        <f aca="false">SUMIF('Transaction Detail'!$A$2:$A$385,$R38,'Transaction Detail'!$O$2:$O$385)</f>
        <v>219.4</v>
      </c>
      <c r="P38" s="14" t="n">
        <f aca="false">IF(N38=0,"",O38/N38)</f>
        <v>0.1</v>
      </c>
      <c r="Q38" s="2"/>
      <c r="R38" s="2" t="s">
        <v>149</v>
      </c>
    </row>
    <row r="39" customFormat="false" ht="15" hidden="false" customHeight="false" outlineLevel="0" collapsed="false">
      <c r="A39" s="2" t="s">
        <v>22</v>
      </c>
      <c r="B39" s="2" t="s">
        <v>150</v>
      </c>
      <c r="C39" s="2" t="s">
        <v>109</v>
      </c>
      <c r="D39" s="2" t="s">
        <v>110</v>
      </c>
      <c r="E39" s="2" t="s">
        <v>26</v>
      </c>
      <c r="F39" s="2" t="s">
        <v>44</v>
      </c>
      <c r="G39" s="2" t="s">
        <v>151</v>
      </c>
      <c r="H39" s="2" t="s">
        <v>152</v>
      </c>
      <c r="I39" s="11" t="n">
        <v>6</v>
      </c>
      <c r="J39" s="12" t="n">
        <v>1906</v>
      </c>
      <c r="K39" s="2" t="s">
        <v>47</v>
      </c>
      <c r="L39" s="11" t="n">
        <f aca="false">COUNTIF('Transaction Detail'!$A$2:$A$385,$R39)</f>
        <v>1</v>
      </c>
      <c r="M39" s="13" t="n">
        <v>0.1</v>
      </c>
      <c r="N39" s="12" t="n">
        <f aca="false">SUMIF('Transaction Detail'!$A$2:$A$385,$R39,'Transaction Detail'!$N$2:$N$385)</f>
        <v>1906</v>
      </c>
      <c r="O39" s="12" t="n">
        <f aca="false">SUMIF('Transaction Detail'!$A$2:$A$385,$R39,'Transaction Detail'!$O$2:$O$385)</f>
        <v>190.6</v>
      </c>
      <c r="P39" s="14" t="n">
        <f aca="false">IF(N39=0,"",O39/N39)</f>
        <v>0.1</v>
      </c>
      <c r="Q39" s="2"/>
      <c r="R39" s="2" t="s">
        <v>153</v>
      </c>
    </row>
    <row r="40" customFormat="false" ht="15" hidden="false" customHeight="false" outlineLevel="0" collapsed="false">
      <c r="A40" s="2" t="s">
        <v>22</v>
      </c>
      <c r="B40" s="2" t="s">
        <v>154</v>
      </c>
      <c r="C40" s="2" t="s">
        <v>109</v>
      </c>
      <c r="D40" s="2" t="s">
        <v>110</v>
      </c>
      <c r="E40" s="2" t="s">
        <v>26</v>
      </c>
      <c r="F40" s="2" t="s">
        <v>44</v>
      </c>
      <c r="G40" s="2" t="s">
        <v>155</v>
      </c>
      <c r="H40" s="2" t="s">
        <v>60</v>
      </c>
      <c r="I40" s="11" t="n">
        <v>6</v>
      </c>
      <c r="J40" s="12" t="n">
        <v>2083</v>
      </c>
      <c r="K40" s="2" t="s">
        <v>47</v>
      </c>
      <c r="L40" s="11" t="n">
        <f aca="false">COUNTIF('Transaction Detail'!$A$2:$A$385,$R40)</f>
        <v>1</v>
      </c>
      <c r="M40" s="13" t="n">
        <v>0.1</v>
      </c>
      <c r="N40" s="12" t="n">
        <f aca="false">SUMIF('Transaction Detail'!$A$2:$A$385,$R40,'Transaction Detail'!$N$2:$N$385)</f>
        <v>2083</v>
      </c>
      <c r="O40" s="12" t="n">
        <f aca="false">SUMIF('Transaction Detail'!$A$2:$A$385,$R40,'Transaction Detail'!$O$2:$O$385)</f>
        <v>208.3</v>
      </c>
      <c r="P40" s="14" t="n">
        <f aca="false">IF(N40=0,"",O40/N40)</f>
        <v>0.1</v>
      </c>
      <c r="Q40" s="2"/>
      <c r="R40" s="2" t="s">
        <v>156</v>
      </c>
    </row>
    <row r="41" customFormat="false" ht="15" hidden="false" customHeight="false" outlineLevel="0" collapsed="false">
      <c r="A41" s="2" t="s">
        <v>22</v>
      </c>
      <c r="B41" s="2" t="s">
        <v>157</v>
      </c>
      <c r="C41" s="2" t="s">
        <v>109</v>
      </c>
      <c r="D41" s="2" t="s">
        <v>110</v>
      </c>
      <c r="E41" s="2" t="s">
        <v>26</v>
      </c>
      <c r="F41" s="2" t="s">
        <v>44</v>
      </c>
      <c r="G41" s="2" t="s">
        <v>158</v>
      </c>
      <c r="H41" s="2" t="s">
        <v>60</v>
      </c>
      <c r="I41" s="11" t="n">
        <v>6</v>
      </c>
      <c r="J41" s="12" t="n">
        <v>1205</v>
      </c>
      <c r="K41" s="2" t="s">
        <v>47</v>
      </c>
      <c r="L41" s="11" t="n">
        <f aca="false">COUNTIF('Transaction Detail'!$A$2:$A$385,$R41)</f>
        <v>1</v>
      </c>
      <c r="M41" s="13" t="n">
        <v>0.1</v>
      </c>
      <c r="N41" s="12" t="n">
        <f aca="false">SUMIF('Transaction Detail'!$A$2:$A$385,$R41,'Transaction Detail'!$N$2:$N$385)</f>
        <v>1205</v>
      </c>
      <c r="O41" s="12" t="n">
        <f aca="false">SUMIF('Transaction Detail'!$A$2:$A$385,$R41,'Transaction Detail'!$O$2:$O$385)</f>
        <v>120.5</v>
      </c>
      <c r="P41" s="14" t="n">
        <f aca="false">IF(N41=0,"",O41/N41)</f>
        <v>0.1</v>
      </c>
      <c r="Q41" s="2"/>
      <c r="R41" s="2" t="s">
        <v>159</v>
      </c>
    </row>
    <row r="42" customFormat="false" ht="15" hidden="false" customHeight="false" outlineLevel="0" collapsed="false">
      <c r="A42" s="2" t="s">
        <v>22</v>
      </c>
      <c r="B42" s="2" t="s">
        <v>160</v>
      </c>
      <c r="C42" s="2" t="s">
        <v>109</v>
      </c>
      <c r="D42" s="2" t="s">
        <v>110</v>
      </c>
      <c r="E42" s="2" t="s">
        <v>26</v>
      </c>
      <c r="F42" s="2" t="s">
        <v>44</v>
      </c>
      <c r="G42" s="2" t="s">
        <v>161</v>
      </c>
      <c r="H42" s="2" t="s">
        <v>162</v>
      </c>
      <c r="I42" s="11" t="n">
        <v>6</v>
      </c>
      <c r="J42" s="12" t="n">
        <v>1278</v>
      </c>
      <c r="K42" s="2" t="s">
        <v>47</v>
      </c>
      <c r="L42" s="11" t="n">
        <f aca="false">COUNTIF('Transaction Detail'!$A$2:$A$385,$R42)</f>
        <v>1</v>
      </c>
      <c r="M42" s="13" t="n">
        <v>0.1</v>
      </c>
      <c r="N42" s="12" t="n">
        <f aca="false">SUMIF('Transaction Detail'!$A$2:$A$385,$R42,'Transaction Detail'!$N$2:$N$385)</f>
        <v>1278</v>
      </c>
      <c r="O42" s="12" t="n">
        <f aca="false">SUMIF('Transaction Detail'!$A$2:$A$385,$R42,'Transaction Detail'!$O$2:$O$385)</f>
        <v>127.8</v>
      </c>
      <c r="P42" s="14" t="n">
        <f aca="false">IF(N42=0,"",O42/N42)</f>
        <v>0.1</v>
      </c>
      <c r="Q42" s="2"/>
      <c r="R42" s="2" t="s">
        <v>163</v>
      </c>
    </row>
    <row r="43" customFormat="false" ht="15" hidden="false" customHeight="false" outlineLevel="0" collapsed="false">
      <c r="A43" s="2" t="s">
        <v>22</v>
      </c>
      <c r="B43" s="2" t="s">
        <v>164</v>
      </c>
      <c r="C43" s="2" t="s">
        <v>109</v>
      </c>
      <c r="D43" s="2" t="s">
        <v>110</v>
      </c>
      <c r="E43" s="2" t="s">
        <v>26</v>
      </c>
      <c r="F43" s="2" t="s">
        <v>44</v>
      </c>
      <c r="G43" s="2" t="s">
        <v>165</v>
      </c>
      <c r="H43" s="2" t="s">
        <v>71</v>
      </c>
      <c r="I43" s="11" t="n">
        <v>6</v>
      </c>
      <c r="J43" s="12" t="n">
        <v>539</v>
      </c>
      <c r="K43" s="2" t="s">
        <v>47</v>
      </c>
      <c r="L43" s="11" t="n">
        <f aca="false">COUNTIF('Transaction Detail'!$A$2:$A$385,$R43)</f>
        <v>1</v>
      </c>
      <c r="M43" s="13" t="n">
        <v>0.1</v>
      </c>
      <c r="N43" s="12" t="n">
        <f aca="false">SUMIF('Transaction Detail'!$A$2:$A$385,$R43,'Transaction Detail'!$N$2:$N$385)</f>
        <v>539</v>
      </c>
      <c r="O43" s="12" t="n">
        <f aca="false">SUMIF('Transaction Detail'!$A$2:$A$385,$R43,'Transaction Detail'!$O$2:$O$385)</f>
        <v>53.9</v>
      </c>
      <c r="P43" s="14" t="n">
        <f aca="false">IF(N43=0,"",O43/N43)</f>
        <v>0.1</v>
      </c>
      <c r="Q43" s="2"/>
      <c r="R43" s="2" t="s">
        <v>166</v>
      </c>
    </row>
    <row r="44" customFormat="false" ht="15" hidden="false" customHeight="false" outlineLevel="0" collapsed="false">
      <c r="A44" s="2" t="s">
        <v>22</v>
      </c>
      <c r="B44" s="2" t="s">
        <v>167</v>
      </c>
      <c r="C44" s="2" t="s">
        <v>109</v>
      </c>
      <c r="D44" s="2" t="s">
        <v>110</v>
      </c>
      <c r="E44" s="2" t="s">
        <v>26</v>
      </c>
      <c r="F44" s="2" t="s">
        <v>44</v>
      </c>
      <c r="G44" s="2" t="s">
        <v>168</v>
      </c>
      <c r="H44" s="2" t="s">
        <v>169</v>
      </c>
      <c r="I44" s="11" t="n">
        <v>6</v>
      </c>
      <c r="J44" s="12" t="n">
        <v>945</v>
      </c>
      <c r="K44" s="2" t="s">
        <v>47</v>
      </c>
      <c r="L44" s="11" t="n">
        <f aca="false">COUNTIF('Transaction Detail'!$A$2:$A$385,$R44)</f>
        <v>1</v>
      </c>
      <c r="M44" s="13" t="n">
        <v>0.1</v>
      </c>
      <c r="N44" s="12" t="n">
        <f aca="false">SUMIF('Transaction Detail'!$A$2:$A$385,$R44,'Transaction Detail'!$N$2:$N$385)</f>
        <v>945</v>
      </c>
      <c r="O44" s="12" t="n">
        <f aca="false">SUMIF('Transaction Detail'!$A$2:$A$385,$R44,'Transaction Detail'!$O$2:$O$385)</f>
        <v>94.5</v>
      </c>
      <c r="P44" s="14" t="n">
        <f aca="false">IF(N44=0,"",O44/N44)</f>
        <v>0.1</v>
      </c>
      <c r="Q44" s="2"/>
      <c r="R44" s="2" t="s">
        <v>170</v>
      </c>
    </row>
    <row r="45" customFormat="false" ht="15" hidden="false" customHeight="false" outlineLevel="0" collapsed="false">
      <c r="A45" s="2" t="s">
        <v>22</v>
      </c>
      <c r="B45" s="2" t="s">
        <v>171</v>
      </c>
      <c r="C45" s="2" t="s">
        <v>109</v>
      </c>
      <c r="D45" s="2" t="s">
        <v>110</v>
      </c>
      <c r="E45" s="2" t="s">
        <v>26</v>
      </c>
      <c r="F45" s="2" t="s">
        <v>44</v>
      </c>
      <c r="G45" s="2" t="s">
        <v>172</v>
      </c>
      <c r="H45" s="2" t="s">
        <v>169</v>
      </c>
      <c r="I45" s="11" t="n">
        <v>6</v>
      </c>
      <c r="J45" s="12" t="n">
        <v>1213</v>
      </c>
      <c r="K45" s="2" t="s">
        <v>47</v>
      </c>
      <c r="L45" s="11" t="n">
        <f aca="false">COUNTIF('Transaction Detail'!$A$2:$A$385,$R45)</f>
        <v>1</v>
      </c>
      <c r="M45" s="13" t="n">
        <v>0.1</v>
      </c>
      <c r="N45" s="12" t="n">
        <f aca="false">SUMIF('Transaction Detail'!$A$2:$A$385,$R45,'Transaction Detail'!$N$2:$N$385)</f>
        <v>1213</v>
      </c>
      <c r="O45" s="12" t="n">
        <f aca="false">SUMIF('Transaction Detail'!$A$2:$A$385,$R45,'Transaction Detail'!$O$2:$O$385)</f>
        <v>121.3</v>
      </c>
      <c r="P45" s="14" t="n">
        <f aca="false">IF(N45=0,"",O45/N45)</f>
        <v>0.1</v>
      </c>
      <c r="Q45" s="2"/>
      <c r="R45" s="2" t="s">
        <v>173</v>
      </c>
    </row>
    <row r="46" customFormat="false" ht="15" hidden="false" customHeight="false" outlineLevel="0" collapsed="false">
      <c r="A46" s="2" t="s">
        <v>22</v>
      </c>
      <c r="B46" s="2" t="s">
        <v>174</v>
      </c>
      <c r="C46" s="2" t="s">
        <v>109</v>
      </c>
      <c r="D46" s="2" t="s">
        <v>110</v>
      </c>
      <c r="E46" s="2" t="s">
        <v>26</v>
      </c>
      <c r="F46" s="2" t="s">
        <v>44</v>
      </c>
      <c r="G46" s="2" t="s">
        <v>175</v>
      </c>
      <c r="H46" s="2" t="s">
        <v>176</v>
      </c>
      <c r="I46" s="11" t="n">
        <v>6</v>
      </c>
      <c r="J46" s="12" t="n">
        <v>794</v>
      </c>
      <c r="K46" s="2" t="s">
        <v>47</v>
      </c>
      <c r="L46" s="11" t="n">
        <f aca="false">COUNTIF('Transaction Detail'!$A$2:$A$385,$R46)</f>
        <v>1</v>
      </c>
      <c r="M46" s="13" t="n">
        <v>0.1</v>
      </c>
      <c r="N46" s="12" t="n">
        <f aca="false">SUMIF('Transaction Detail'!$A$2:$A$385,$R46,'Transaction Detail'!$N$2:$N$385)</f>
        <v>794</v>
      </c>
      <c r="O46" s="12" t="n">
        <f aca="false">SUMIF('Transaction Detail'!$A$2:$A$385,$R46,'Transaction Detail'!$O$2:$O$385)</f>
        <v>79.4</v>
      </c>
      <c r="P46" s="14" t="n">
        <f aca="false">IF(N46=0,"",O46/N46)</f>
        <v>0.1</v>
      </c>
      <c r="Q46" s="2"/>
      <c r="R46" s="2" t="s">
        <v>177</v>
      </c>
    </row>
    <row r="47" customFormat="false" ht="15" hidden="false" customHeight="false" outlineLevel="0" collapsed="false">
      <c r="A47" s="2" t="s">
        <v>22</v>
      </c>
      <c r="B47" s="2" t="s">
        <v>178</v>
      </c>
      <c r="C47" s="2" t="s">
        <v>109</v>
      </c>
      <c r="D47" s="2" t="s">
        <v>110</v>
      </c>
      <c r="E47" s="2" t="s">
        <v>26</v>
      </c>
      <c r="F47" s="2" t="s">
        <v>44</v>
      </c>
      <c r="G47" s="2" t="s">
        <v>179</v>
      </c>
      <c r="H47" s="2" t="s">
        <v>81</v>
      </c>
      <c r="I47" s="11" t="n">
        <v>6</v>
      </c>
      <c r="J47" s="12" t="n">
        <v>947</v>
      </c>
      <c r="K47" s="2" t="s">
        <v>47</v>
      </c>
      <c r="L47" s="11" t="n">
        <f aca="false">COUNTIF('Transaction Detail'!$A$2:$A$385,$R47)</f>
        <v>1</v>
      </c>
      <c r="M47" s="13" t="n">
        <v>0.1</v>
      </c>
      <c r="N47" s="12" t="n">
        <f aca="false">SUMIF('Transaction Detail'!$A$2:$A$385,$R47,'Transaction Detail'!$N$2:$N$385)</f>
        <v>947</v>
      </c>
      <c r="O47" s="12" t="n">
        <f aca="false">SUMIF('Transaction Detail'!$A$2:$A$385,$R47,'Transaction Detail'!$O$2:$O$385)</f>
        <v>94.7</v>
      </c>
      <c r="P47" s="14" t="n">
        <f aca="false">IF(N47=0,"",O47/N47)</f>
        <v>0.1</v>
      </c>
      <c r="Q47" s="2"/>
      <c r="R47" s="2" t="s">
        <v>180</v>
      </c>
    </row>
    <row r="48" customFormat="false" ht="15" hidden="false" customHeight="false" outlineLevel="0" collapsed="false">
      <c r="A48" s="2" t="s">
        <v>22</v>
      </c>
      <c r="B48" s="2" t="s">
        <v>181</v>
      </c>
      <c r="C48" s="2" t="s">
        <v>109</v>
      </c>
      <c r="D48" s="2" t="s">
        <v>110</v>
      </c>
      <c r="E48" s="2" t="s">
        <v>182</v>
      </c>
      <c r="F48" s="2" t="s">
        <v>44</v>
      </c>
      <c r="G48" s="2" t="s">
        <v>183</v>
      </c>
      <c r="H48" s="2" t="s">
        <v>184</v>
      </c>
      <c r="I48" s="11" t="n">
        <v>12</v>
      </c>
      <c r="J48" s="12" t="n">
        <v>949</v>
      </c>
      <c r="K48" s="2" t="s">
        <v>47</v>
      </c>
      <c r="L48" s="11" t="n">
        <f aca="false">COUNTIF('Transaction Detail'!$A$2:$A$385,$R48)</f>
        <v>1</v>
      </c>
      <c r="M48" s="13" t="n">
        <v>0.1</v>
      </c>
      <c r="N48" s="12" t="n">
        <f aca="false">SUMIF('Transaction Detail'!$A$2:$A$385,$R48,'Transaction Detail'!$N$2:$N$385)</f>
        <v>949</v>
      </c>
      <c r="O48" s="12" t="n">
        <f aca="false">SUMIF('Transaction Detail'!$A$2:$A$385,$R48,'Transaction Detail'!$O$2:$O$385)</f>
        <v>94.9</v>
      </c>
      <c r="P48" s="14" t="n">
        <f aca="false">IF(N48=0,"",O48/N48)</f>
        <v>0.1</v>
      </c>
      <c r="Q48" s="2"/>
      <c r="R48" s="2" t="s">
        <v>185</v>
      </c>
    </row>
    <row r="49" customFormat="false" ht="15" hidden="false" customHeight="false" outlineLevel="0" collapsed="false">
      <c r="A49" s="2" t="s">
        <v>22</v>
      </c>
      <c r="B49" s="2" t="s">
        <v>186</v>
      </c>
      <c r="C49" s="2" t="s">
        <v>109</v>
      </c>
      <c r="D49" s="2" t="s">
        <v>110</v>
      </c>
      <c r="E49" s="2" t="s">
        <v>26</v>
      </c>
      <c r="F49" s="2" t="s">
        <v>44</v>
      </c>
      <c r="G49" s="2" t="s">
        <v>187</v>
      </c>
      <c r="H49" s="2" t="s">
        <v>188</v>
      </c>
      <c r="I49" s="11" t="n">
        <v>6</v>
      </c>
      <c r="J49" s="12" t="n">
        <v>626</v>
      </c>
      <c r="K49" s="2" t="s">
        <v>47</v>
      </c>
      <c r="L49" s="11" t="n">
        <f aca="false">COUNTIF('Transaction Detail'!$A$2:$A$385,$R49)</f>
        <v>1</v>
      </c>
      <c r="M49" s="13" t="n">
        <v>0.1</v>
      </c>
      <c r="N49" s="12" t="n">
        <f aca="false">SUMIF('Transaction Detail'!$A$2:$A$385,$R49,'Transaction Detail'!$N$2:$N$385)</f>
        <v>619</v>
      </c>
      <c r="O49" s="12" t="n">
        <f aca="false">SUMIF('Transaction Detail'!$A$2:$A$385,$R49,'Transaction Detail'!$O$2:$O$385)</f>
        <v>61.9</v>
      </c>
      <c r="P49" s="14" t="n">
        <f aca="false">IF(N49=0,"",O49/N49)</f>
        <v>0.1</v>
      </c>
      <c r="Q49" s="2"/>
      <c r="R49" s="2" t="s">
        <v>189</v>
      </c>
    </row>
    <row r="50" customFormat="false" ht="15" hidden="false" customHeight="false" outlineLevel="0" collapsed="false">
      <c r="A50" s="2" t="s">
        <v>22</v>
      </c>
      <c r="B50" s="2" t="s">
        <v>190</v>
      </c>
      <c r="C50" s="2" t="s">
        <v>109</v>
      </c>
      <c r="D50" s="2" t="s">
        <v>110</v>
      </c>
      <c r="E50" s="2" t="s">
        <v>26</v>
      </c>
      <c r="F50" s="2" t="s">
        <v>44</v>
      </c>
      <c r="G50" s="2" t="s">
        <v>191</v>
      </c>
      <c r="H50" s="2" t="s">
        <v>192</v>
      </c>
      <c r="I50" s="11" t="n">
        <v>6</v>
      </c>
      <c r="J50" s="12" t="n">
        <v>1907</v>
      </c>
      <c r="K50" s="2" t="s">
        <v>47</v>
      </c>
      <c r="L50" s="11" t="n">
        <f aca="false">COUNTIF('Transaction Detail'!$A$2:$A$385,$R50)</f>
        <v>1</v>
      </c>
      <c r="M50" s="13" t="n">
        <v>0.1</v>
      </c>
      <c r="N50" s="12" t="n">
        <f aca="false">SUMIF('Transaction Detail'!$A$2:$A$385,$R50,'Transaction Detail'!$N$2:$N$385)</f>
        <v>1907</v>
      </c>
      <c r="O50" s="12" t="n">
        <f aca="false">SUMIF('Transaction Detail'!$A$2:$A$385,$R50,'Transaction Detail'!$O$2:$O$385)</f>
        <v>190.7</v>
      </c>
      <c r="P50" s="14" t="n">
        <f aca="false">IF(N50=0,"",O50/N50)</f>
        <v>0.1</v>
      </c>
      <c r="Q50" s="2"/>
      <c r="R50" s="2" t="s">
        <v>193</v>
      </c>
    </row>
    <row r="51" customFormat="false" ht="15" hidden="false" customHeight="false" outlineLevel="0" collapsed="false">
      <c r="A51" s="2" t="s">
        <v>22</v>
      </c>
      <c r="B51" s="2" t="s">
        <v>194</v>
      </c>
      <c r="C51" s="2" t="s">
        <v>109</v>
      </c>
      <c r="D51" s="2" t="s">
        <v>110</v>
      </c>
      <c r="E51" s="2" t="s">
        <v>26</v>
      </c>
      <c r="F51" s="2" t="s">
        <v>44</v>
      </c>
      <c r="G51" s="2" t="s">
        <v>195</v>
      </c>
      <c r="H51" s="2" t="s">
        <v>192</v>
      </c>
      <c r="I51" s="11" t="n">
        <v>6</v>
      </c>
      <c r="J51" s="12" t="n">
        <v>564</v>
      </c>
      <c r="K51" s="2" t="s">
        <v>47</v>
      </c>
      <c r="L51" s="11" t="n">
        <f aca="false">COUNTIF('Transaction Detail'!$A$2:$A$385,$R51)</f>
        <v>1</v>
      </c>
      <c r="M51" s="13" t="n">
        <v>0.1</v>
      </c>
      <c r="N51" s="12" t="n">
        <f aca="false">SUMIF('Transaction Detail'!$A$2:$A$385,$R51,'Transaction Detail'!$N$2:$N$385)</f>
        <v>564</v>
      </c>
      <c r="O51" s="12" t="n">
        <f aca="false">SUMIF('Transaction Detail'!$A$2:$A$385,$R51,'Transaction Detail'!$O$2:$O$385)</f>
        <v>56.4</v>
      </c>
      <c r="P51" s="14" t="n">
        <f aca="false">IF(N51=0,"",O51/N51)</f>
        <v>0.1</v>
      </c>
      <c r="Q51" s="2"/>
      <c r="R51" s="2" t="s">
        <v>196</v>
      </c>
    </row>
    <row r="52" customFormat="false" ht="15" hidden="false" customHeight="false" outlineLevel="0" collapsed="false">
      <c r="A52" s="2" t="s">
        <v>22</v>
      </c>
      <c r="B52" s="2" t="s">
        <v>134</v>
      </c>
      <c r="C52" s="2" t="s">
        <v>109</v>
      </c>
      <c r="D52" s="2" t="s">
        <v>110</v>
      </c>
      <c r="E52" s="2" t="s">
        <v>197</v>
      </c>
      <c r="F52" s="2" t="s">
        <v>44</v>
      </c>
      <c r="G52" s="2" t="s">
        <v>198</v>
      </c>
      <c r="H52" s="2" t="s">
        <v>192</v>
      </c>
      <c r="I52" s="11" t="n">
        <v>12</v>
      </c>
      <c r="J52" s="12" t="n">
        <v>684.61</v>
      </c>
      <c r="K52" s="2" t="s">
        <v>47</v>
      </c>
      <c r="L52" s="11" t="n">
        <f aca="false">COUNTIF('Transaction Detail'!$A$2:$A$385,$R52)</f>
        <v>1</v>
      </c>
      <c r="M52" s="13" t="n">
        <v>0.1</v>
      </c>
      <c r="N52" s="12" t="n">
        <f aca="false">SUMIF('Transaction Detail'!$A$2:$A$385,$R52,'Transaction Detail'!$N$2:$N$385)</f>
        <v>678</v>
      </c>
      <c r="O52" s="12" t="n">
        <f aca="false">SUMIF('Transaction Detail'!$A$2:$A$385,$R52,'Transaction Detail'!$O$2:$O$385)</f>
        <v>67.8</v>
      </c>
      <c r="P52" s="14" t="n">
        <f aca="false">IF(N52=0,"",O52/N52)</f>
        <v>0.1</v>
      </c>
      <c r="Q52" s="2"/>
      <c r="R52" s="2" t="s">
        <v>199</v>
      </c>
    </row>
    <row r="53" customFormat="false" ht="15" hidden="false" customHeight="false" outlineLevel="0" collapsed="false">
      <c r="A53" s="2" t="s">
        <v>22</v>
      </c>
      <c r="B53" s="2" t="s">
        <v>200</v>
      </c>
      <c r="C53" s="2" t="s">
        <v>109</v>
      </c>
      <c r="D53" s="2" t="s">
        <v>110</v>
      </c>
      <c r="E53" s="2" t="s">
        <v>26</v>
      </c>
      <c r="F53" s="2" t="s">
        <v>44</v>
      </c>
      <c r="G53" s="2" t="s">
        <v>201</v>
      </c>
      <c r="H53" s="2" t="s">
        <v>202</v>
      </c>
      <c r="I53" s="11" t="n">
        <v>6</v>
      </c>
      <c r="J53" s="12" t="n">
        <v>1443</v>
      </c>
      <c r="K53" s="2" t="s">
        <v>47</v>
      </c>
      <c r="L53" s="11" t="n">
        <f aca="false">COUNTIF('Transaction Detail'!$A$2:$A$385,$R53)</f>
        <v>1</v>
      </c>
      <c r="M53" s="13" t="n">
        <v>0.1</v>
      </c>
      <c r="N53" s="12" t="n">
        <f aca="false">SUMIF('Transaction Detail'!$A$2:$A$385,$R53,'Transaction Detail'!$N$2:$N$385)</f>
        <v>1443</v>
      </c>
      <c r="O53" s="12" t="n">
        <f aca="false">SUMIF('Transaction Detail'!$A$2:$A$385,$R53,'Transaction Detail'!$O$2:$O$385)</f>
        <v>144.3</v>
      </c>
      <c r="P53" s="14" t="n">
        <f aca="false">IF(N53=0,"",O53/N53)</f>
        <v>0.1</v>
      </c>
      <c r="Q53" s="2"/>
      <c r="R53" s="2" t="s">
        <v>203</v>
      </c>
    </row>
    <row r="54" customFormat="false" ht="15" hidden="false" customHeight="false" outlineLevel="0" collapsed="false">
      <c r="A54" s="2" t="s">
        <v>22</v>
      </c>
      <c r="B54" s="2" t="s">
        <v>204</v>
      </c>
      <c r="C54" s="2" t="s">
        <v>109</v>
      </c>
      <c r="D54" s="2" t="s">
        <v>110</v>
      </c>
      <c r="E54" s="2" t="s">
        <v>26</v>
      </c>
      <c r="F54" s="2" t="s">
        <v>44</v>
      </c>
      <c r="G54" s="2" t="s">
        <v>205</v>
      </c>
      <c r="H54" s="2" t="s">
        <v>202</v>
      </c>
      <c r="I54" s="11" t="n">
        <v>6</v>
      </c>
      <c r="J54" s="12" t="n">
        <v>948</v>
      </c>
      <c r="K54" s="2" t="s">
        <v>47</v>
      </c>
      <c r="L54" s="11" t="n">
        <f aca="false">COUNTIF('Transaction Detail'!$A$2:$A$385,$R54)</f>
        <v>1</v>
      </c>
      <c r="M54" s="13" t="n">
        <v>0.1</v>
      </c>
      <c r="N54" s="12" t="n">
        <f aca="false">SUMIF('Transaction Detail'!$A$2:$A$385,$R54,'Transaction Detail'!$N$2:$N$385)</f>
        <v>948</v>
      </c>
      <c r="O54" s="12" t="n">
        <f aca="false">SUMIF('Transaction Detail'!$A$2:$A$385,$R54,'Transaction Detail'!$O$2:$O$385)</f>
        <v>94.8</v>
      </c>
      <c r="P54" s="14" t="n">
        <f aca="false">IF(N54=0,"",O54/N54)</f>
        <v>0.1</v>
      </c>
      <c r="Q54" s="2"/>
      <c r="R54" s="2" t="s">
        <v>206</v>
      </c>
    </row>
    <row r="55" customFormat="false" ht="15" hidden="false" customHeight="false" outlineLevel="0" collapsed="false">
      <c r="A55" s="2" t="s">
        <v>22</v>
      </c>
      <c r="B55" s="2" t="s">
        <v>207</v>
      </c>
      <c r="C55" s="2" t="s">
        <v>109</v>
      </c>
      <c r="D55" s="2" t="s">
        <v>110</v>
      </c>
      <c r="E55" s="2" t="s">
        <v>26</v>
      </c>
      <c r="F55" s="2" t="s">
        <v>208</v>
      </c>
      <c r="G55" s="2" t="s">
        <v>209</v>
      </c>
      <c r="H55" s="2" t="s">
        <v>34</v>
      </c>
      <c r="I55" s="11" t="n">
        <v>6</v>
      </c>
      <c r="J55" s="12" t="n">
        <v>1188</v>
      </c>
      <c r="K55" s="2" t="s">
        <v>210</v>
      </c>
      <c r="L55" s="11" t="n">
        <f aca="false">COUNTIF('Transaction Detail'!$A$2:$A$385,$R55)</f>
        <v>1</v>
      </c>
      <c r="M55" s="13" t="n">
        <v>0.11</v>
      </c>
      <c r="N55" s="12" t="n">
        <f aca="false">SUMIF('Transaction Detail'!$A$2:$A$385,$R55,'Transaction Detail'!$N$2:$N$385)</f>
        <v>1153</v>
      </c>
      <c r="O55" s="12" t="n">
        <f aca="false">SUMIF('Transaction Detail'!$A$2:$A$385,$R55,'Transaction Detail'!$O$2:$O$385)</f>
        <v>126.83</v>
      </c>
      <c r="P55" s="14" t="n">
        <f aca="false">IF(N55=0,"",O55/N55)</f>
        <v>0.11</v>
      </c>
      <c r="Q55" s="2"/>
      <c r="R55" s="2" t="s">
        <v>211</v>
      </c>
    </row>
    <row r="56" customFormat="false" ht="15" hidden="false" customHeight="false" outlineLevel="0" collapsed="false">
      <c r="A56" s="2" t="s">
        <v>22</v>
      </c>
      <c r="B56" s="2" t="s">
        <v>212</v>
      </c>
      <c r="C56" s="2" t="s">
        <v>109</v>
      </c>
      <c r="D56" s="2" t="s">
        <v>110</v>
      </c>
      <c r="E56" s="2" t="s">
        <v>26</v>
      </c>
      <c r="F56" s="2" t="s">
        <v>208</v>
      </c>
      <c r="G56" s="2" t="s">
        <v>213</v>
      </c>
      <c r="H56" s="2" t="s">
        <v>162</v>
      </c>
      <c r="I56" s="11" t="n">
        <v>6</v>
      </c>
      <c r="J56" s="12" t="n">
        <v>1176</v>
      </c>
      <c r="K56" s="2" t="s">
        <v>210</v>
      </c>
      <c r="L56" s="11" t="n">
        <f aca="false">COUNTIF('Transaction Detail'!$A$2:$A$385,$R56)</f>
        <v>1</v>
      </c>
      <c r="M56" s="13" t="n">
        <v>0.11</v>
      </c>
      <c r="N56" s="12" t="n">
        <f aca="false">SUMIF('Transaction Detail'!$A$2:$A$385,$R56,'Transaction Detail'!$N$2:$N$385)</f>
        <v>1141</v>
      </c>
      <c r="O56" s="12" t="n">
        <f aca="false">SUMIF('Transaction Detail'!$A$2:$A$385,$R56,'Transaction Detail'!$O$2:$O$385)</f>
        <v>125.51</v>
      </c>
      <c r="P56" s="14" t="n">
        <f aca="false">IF(N56=0,"",O56/N56)</f>
        <v>0.11</v>
      </c>
      <c r="Q56" s="2"/>
      <c r="R56" s="2" t="s">
        <v>214</v>
      </c>
    </row>
    <row r="57" customFormat="false" ht="15" hidden="false" customHeight="false" outlineLevel="0" collapsed="false">
      <c r="A57" s="2" t="s">
        <v>22</v>
      </c>
      <c r="B57" s="2" t="s">
        <v>215</v>
      </c>
      <c r="C57" s="2" t="s">
        <v>109</v>
      </c>
      <c r="D57" s="2" t="s">
        <v>110</v>
      </c>
      <c r="E57" s="2" t="s">
        <v>26</v>
      </c>
      <c r="F57" s="2" t="s">
        <v>37</v>
      </c>
      <c r="G57" s="2" t="s">
        <v>216</v>
      </c>
      <c r="H57" s="2" t="s">
        <v>162</v>
      </c>
      <c r="I57" s="11" t="n">
        <v>6</v>
      </c>
      <c r="J57" s="12" t="n">
        <v>1133</v>
      </c>
      <c r="K57" s="2" t="s">
        <v>40</v>
      </c>
      <c r="L57" s="11" t="n">
        <f aca="false">COUNTIF('Transaction Detail'!$A$2:$A$385,$R57)</f>
        <v>2</v>
      </c>
      <c r="M57" s="13" t="n">
        <v>0.1</v>
      </c>
      <c r="N57" s="12" t="n">
        <f aca="false">SUMIF('Transaction Detail'!$A$2:$A$385,$R57,'Transaction Detail'!$N$2:$N$385)</f>
        <v>221.6</v>
      </c>
      <c r="O57" s="12" t="n">
        <f aca="false">SUMIF('Transaction Detail'!$A$2:$A$385,$R57,'Transaction Detail'!$O$2:$O$385)</f>
        <v>22.16</v>
      </c>
      <c r="P57" s="14" t="n">
        <f aca="false">IF(N57=0,"",O57/N57)</f>
        <v>0.1</v>
      </c>
      <c r="Q57" s="2" t="s">
        <v>217</v>
      </c>
      <c r="R57" s="2" t="s">
        <v>218</v>
      </c>
    </row>
    <row r="58" customFormat="false" ht="15" hidden="false" customHeight="false" outlineLevel="0" collapsed="false">
      <c r="A58" s="2" t="s">
        <v>22</v>
      </c>
      <c r="B58" s="2" t="s">
        <v>219</v>
      </c>
      <c r="C58" s="2" t="s">
        <v>109</v>
      </c>
      <c r="D58" s="2" t="s">
        <v>110</v>
      </c>
      <c r="E58" s="2" t="s">
        <v>26</v>
      </c>
      <c r="F58" s="2" t="s">
        <v>37</v>
      </c>
      <c r="G58" s="2" t="s">
        <v>220</v>
      </c>
      <c r="H58" s="2" t="s">
        <v>71</v>
      </c>
      <c r="I58" s="11" t="n">
        <v>12</v>
      </c>
      <c r="J58" s="12" t="n">
        <v>1941</v>
      </c>
      <c r="K58" s="2" t="s">
        <v>40</v>
      </c>
      <c r="L58" s="11" t="n">
        <f aca="false">COUNTIF('Transaction Detail'!$A$2:$A$385,$R58)</f>
        <v>2</v>
      </c>
      <c r="M58" s="13" t="n">
        <v>0.1</v>
      </c>
      <c r="N58" s="12" t="n">
        <f aca="false">SUMIF('Transaction Detail'!$A$2:$A$385,$R58,'Transaction Detail'!$N$2:$N$385)</f>
        <v>162</v>
      </c>
      <c r="O58" s="12" t="n">
        <f aca="false">SUMIF('Transaction Detail'!$A$2:$A$385,$R58,'Transaction Detail'!$O$2:$O$385)</f>
        <v>16.2</v>
      </c>
      <c r="P58" s="14" t="n">
        <f aca="false">IF(N58=0,"",O58/N58)</f>
        <v>0.1</v>
      </c>
      <c r="Q58" s="2" t="s">
        <v>221</v>
      </c>
      <c r="R58" s="2" t="s">
        <v>222</v>
      </c>
    </row>
    <row r="59" customFormat="false" ht="15" hidden="false" customHeight="false" outlineLevel="0" collapsed="false">
      <c r="A59" s="2" t="s">
        <v>22</v>
      </c>
      <c r="B59" s="2" t="s">
        <v>223</v>
      </c>
      <c r="C59" s="2" t="s">
        <v>109</v>
      </c>
      <c r="D59" s="2" t="s">
        <v>110</v>
      </c>
      <c r="E59" s="2" t="s">
        <v>26</v>
      </c>
      <c r="F59" s="2" t="s">
        <v>37</v>
      </c>
      <c r="G59" s="2" t="s">
        <v>224</v>
      </c>
      <c r="H59" s="2" t="s">
        <v>169</v>
      </c>
      <c r="I59" s="11" t="n">
        <v>12</v>
      </c>
      <c r="J59" s="12" t="n">
        <v>2005</v>
      </c>
      <c r="K59" s="2" t="s">
        <v>40</v>
      </c>
      <c r="L59" s="11" t="n">
        <f aca="false">COUNTIF('Transaction Detail'!$A$2:$A$385,$R59)</f>
        <v>2</v>
      </c>
      <c r="M59" s="13" t="n">
        <v>0.1</v>
      </c>
      <c r="N59" s="12" t="n">
        <f aca="false">SUMIF('Transaction Detail'!$A$2:$A$385,$R59,'Transaction Detail'!$N$2:$N$385)</f>
        <v>147.7</v>
      </c>
      <c r="O59" s="12" t="n">
        <f aca="false">SUMIF('Transaction Detail'!$A$2:$A$385,$R59,'Transaction Detail'!$O$2:$O$385)</f>
        <v>14.77</v>
      </c>
      <c r="P59" s="14" t="n">
        <f aca="false">IF(N59=0,"",O59/N59)</f>
        <v>0.1</v>
      </c>
      <c r="Q59" s="2" t="s">
        <v>225</v>
      </c>
      <c r="R59" s="2" t="s">
        <v>226</v>
      </c>
    </row>
    <row r="60" customFormat="false" ht="15" hidden="false" customHeight="false" outlineLevel="0" collapsed="false">
      <c r="A60" s="2" t="s">
        <v>22</v>
      </c>
      <c r="B60" s="2" t="s">
        <v>227</v>
      </c>
      <c r="C60" s="2" t="s">
        <v>24</v>
      </c>
      <c r="D60" s="2" t="s">
        <v>110</v>
      </c>
      <c r="E60" s="2" t="s">
        <v>26</v>
      </c>
      <c r="F60" s="2" t="s">
        <v>37</v>
      </c>
      <c r="G60" s="2" t="s">
        <v>228</v>
      </c>
      <c r="H60" s="2" t="s">
        <v>229</v>
      </c>
      <c r="I60" s="11" t="n">
        <v>12</v>
      </c>
      <c r="J60" s="12"/>
      <c r="K60" s="2" t="s">
        <v>40</v>
      </c>
      <c r="L60" s="11" t="n">
        <f aca="false">COUNTIF('Transaction Detail'!$A$2:$A$385,$R60)</f>
        <v>1</v>
      </c>
      <c r="M60" s="13" t="n">
        <v>0.1</v>
      </c>
      <c r="N60" s="12" t="n">
        <f aca="false">SUMIF('Transaction Detail'!$A$2:$A$385,$R60,'Transaction Detail'!$N$2:$N$385)</f>
        <v>236.7</v>
      </c>
      <c r="O60" s="12" t="n">
        <f aca="false">SUMIF('Transaction Detail'!$A$2:$A$385,$R60,'Transaction Detail'!$O$2:$O$385)</f>
        <v>23.67</v>
      </c>
      <c r="P60" s="14" t="n">
        <f aca="false">IF(N60=0,"",O60/N60)</f>
        <v>0.1</v>
      </c>
      <c r="Q60" s="2" t="s">
        <v>230</v>
      </c>
      <c r="R60" s="2" t="s">
        <v>231</v>
      </c>
    </row>
    <row r="61" customFormat="false" ht="15" hidden="false" customHeight="false" outlineLevel="0" collapsed="false">
      <c r="A61" s="2" t="s">
        <v>22</v>
      </c>
      <c r="B61" s="2" t="s">
        <v>232</v>
      </c>
      <c r="C61" s="2" t="s">
        <v>24</v>
      </c>
      <c r="D61" s="2" t="s">
        <v>110</v>
      </c>
      <c r="E61" s="2" t="s">
        <v>26</v>
      </c>
      <c r="F61" s="2" t="s">
        <v>37</v>
      </c>
      <c r="G61" s="2" t="s">
        <v>233</v>
      </c>
      <c r="H61" s="2" t="s">
        <v>229</v>
      </c>
      <c r="I61" s="11" t="n">
        <v>12</v>
      </c>
      <c r="J61" s="12"/>
      <c r="K61" s="2" t="s">
        <v>40</v>
      </c>
      <c r="L61" s="11" t="n">
        <f aca="false">COUNTIF('Transaction Detail'!$A$2:$A$385,$R61)</f>
        <v>1</v>
      </c>
      <c r="M61" s="13" t="n">
        <v>0.1</v>
      </c>
      <c r="N61" s="12" t="n">
        <f aca="false">SUMIF('Transaction Detail'!$A$2:$A$385,$R61,'Transaction Detail'!$N$2:$N$385)</f>
        <v>359.7</v>
      </c>
      <c r="O61" s="12" t="n">
        <f aca="false">SUMIF('Transaction Detail'!$A$2:$A$385,$R61,'Transaction Detail'!$O$2:$O$385)</f>
        <v>35.97</v>
      </c>
      <c r="P61" s="14" t="n">
        <f aca="false">IF(N61=0,"",O61/N61)</f>
        <v>0.1</v>
      </c>
      <c r="Q61" s="2" t="s">
        <v>230</v>
      </c>
      <c r="R61" s="2" t="s">
        <v>234</v>
      </c>
    </row>
    <row r="62" customFormat="false" ht="15" hidden="false" customHeight="false" outlineLevel="0" collapsed="false">
      <c r="A62" s="2" t="s">
        <v>22</v>
      </c>
      <c r="B62" s="2" t="s">
        <v>235</v>
      </c>
      <c r="C62" s="2" t="s">
        <v>109</v>
      </c>
      <c r="D62" s="2" t="s">
        <v>110</v>
      </c>
      <c r="E62" s="2" t="s">
        <v>26</v>
      </c>
      <c r="F62" s="2" t="s">
        <v>236</v>
      </c>
      <c r="G62" s="2" t="s">
        <v>237</v>
      </c>
      <c r="H62" s="2" t="s">
        <v>29</v>
      </c>
      <c r="I62" s="11" t="n">
        <v>6</v>
      </c>
      <c r="J62" s="12" t="n">
        <v>954</v>
      </c>
      <c r="K62" s="2" t="s">
        <v>238</v>
      </c>
      <c r="L62" s="11" t="n">
        <f aca="false">COUNTIF('Transaction Detail'!$A$2:$A$385,$R62)</f>
        <v>3</v>
      </c>
      <c r="M62" s="13" t="n">
        <v>0.1</v>
      </c>
      <c r="N62" s="12" t="n">
        <f aca="false">SUMIF('Transaction Detail'!$A$2:$A$385,$R62,'Transaction Detail'!$N$2:$N$385)</f>
        <v>919</v>
      </c>
      <c r="O62" s="12" t="n">
        <f aca="false">SUMIF('Transaction Detail'!$A$2:$A$385,$R62,'Transaction Detail'!$O$2:$O$385)</f>
        <v>91.9</v>
      </c>
      <c r="P62" s="14" t="n">
        <f aca="false">IF(N62=0,"",O62/N62)</f>
        <v>0.1</v>
      </c>
      <c r="Q62" s="2" t="s">
        <v>239</v>
      </c>
      <c r="R62" s="2" t="s">
        <v>240</v>
      </c>
    </row>
    <row r="63" customFormat="false" ht="15" hidden="false" customHeight="false" outlineLevel="0" collapsed="false">
      <c r="A63" s="2" t="s">
        <v>22</v>
      </c>
      <c r="B63" s="2" t="s">
        <v>241</v>
      </c>
      <c r="C63" s="2" t="s">
        <v>24</v>
      </c>
      <c r="D63" s="2" t="s">
        <v>110</v>
      </c>
      <c r="E63" s="2" t="s">
        <v>26</v>
      </c>
      <c r="F63" s="2" t="s">
        <v>236</v>
      </c>
      <c r="G63" s="2" t="s">
        <v>242</v>
      </c>
      <c r="H63" s="2" t="s">
        <v>243</v>
      </c>
      <c r="I63" s="11" t="n">
        <v>12</v>
      </c>
      <c r="J63" s="12"/>
      <c r="K63" s="2" t="s">
        <v>238</v>
      </c>
      <c r="L63" s="11" t="n">
        <f aca="false">COUNTIF('Transaction Detail'!$A$2:$A$385,$R63)</f>
        <v>0</v>
      </c>
      <c r="M63" s="11"/>
      <c r="N63" s="12" t="n">
        <f aca="false">SUMIF('Transaction Detail'!$A$2:$A$385,$R63,'Transaction Detail'!$N$2:$N$385)</f>
        <v>0</v>
      </c>
      <c r="O63" s="12" t="n">
        <f aca="false">SUMIF('Transaction Detail'!$A$2:$A$385,$R63,'Transaction Detail'!$O$2:$O$385)</f>
        <v>0</v>
      </c>
      <c r="P63" s="14" t="str">
        <f aca="false">IF(N63=0,"",O63/N63)</f>
        <v/>
      </c>
      <c r="Q63" s="2" t="s">
        <v>244</v>
      </c>
      <c r="R63" s="2" t="s">
        <v>245</v>
      </c>
    </row>
    <row r="64" customFormat="false" ht="15" hidden="false" customHeight="false" outlineLevel="0" collapsed="false">
      <c r="A64" s="2" t="s">
        <v>22</v>
      </c>
      <c r="B64" s="2" t="s">
        <v>246</v>
      </c>
      <c r="C64" s="2" t="s">
        <v>109</v>
      </c>
      <c r="D64" s="2" t="s">
        <v>110</v>
      </c>
      <c r="E64" s="2" t="s">
        <v>26</v>
      </c>
      <c r="F64" s="2" t="s">
        <v>236</v>
      </c>
      <c r="G64" s="2" t="s">
        <v>247</v>
      </c>
      <c r="H64" s="2" t="s">
        <v>60</v>
      </c>
      <c r="I64" s="11" t="n">
        <v>6</v>
      </c>
      <c r="J64" s="12" t="n">
        <v>1450</v>
      </c>
      <c r="K64" s="2" t="s">
        <v>238</v>
      </c>
      <c r="L64" s="11" t="n">
        <f aca="false">COUNTIF('Transaction Detail'!$A$2:$A$385,$R64)</f>
        <v>1</v>
      </c>
      <c r="M64" s="13" t="n">
        <v>0.1</v>
      </c>
      <c r="N64" s="12" t="n">
        <f aca="false">SUMIF('Transaction Detail'!$A$2:$A$385,$R64,'Transaction Detail'!$N$2:$N$385)</f>
        <v>1415</v>
      </c>
      <c r="O64" s="12" t="n">
        <f aca="false">SUMIF('Transaction Detail'!$A$2:$A$385,$R64,'Transaction Detail'!$O$2:$O$385)</f>
        <v>141.5</v>
      </c>
      <c r="P64" s="14" t="n">
        <f aca="false">IF(N64=0,"",O64/N64)</f>
        <v>0.1</v>
      </c>
      <c r="Q64" s="2"/>
      <c r="R64" s="2" t="s">
        <v>248</v>
      </c>
    </row>
    <row r="65" customFormat="false" ht="15" hidden="false" customHeight="false" outlineLevel="0" collapsed="false">
      <c r="A65" s="2" t="s">
        <v>22</v>
      </c>
      <c r="B65" s="2" t="s">
        <v>249</v>
      </c>
      <c r="C65" s="2" t="s">
        <v>109</v>
      </c>
      <c r="D65" s="2" t="s">
        <v>110</v>
      </c>
      <c r="E65" s="2" t="s">
        <v>26</v>
      </c>
      <c r="F65" s="2" t="s">
        <v>250</v>
      </c>
      <c r="G65" s="2" t="s">
        <v>251</v>
      </c>
      <c r="H65" s="2" t="s">
        <v>252</v>
      </c>
      <c r="I65" s="11" t="n">
        <v>6</v>
      </c>
      <c r="J65" s="12" t="n">
        <v>921</v>
      </c>
      <c r="K65" s="2" t="s">
        <v>253</v>
      </c>
      <c r="L65" s="11" t="n">
        <f aca="false">COUNTIF('Transaction Detail'!$A$2:$A$385,$R65)</f>
        <v>1</v>
      </c>
      <c r="M65" s="13" t="n">
        <v>0.1</v>
      </c>
      <c r="N65" s="12" t="n">
        <f aca="false">SUMIF('Transaction Detail'!$A$2:$A$385,$R65,'Transaction Detail'!$N$2:$N$385)</f>
        <v>178.5</v>
      </c>
      <c r="O65" s="12" t="n">
        <f aca="false">SUMIF('Transaction Detail'!$A$2:$A$385,$R65,'Transaction Detail'!$O$2:$O$385)</f>
        <v>17.85</v>
      </c>
      <c r="P65" s="14" t="n">
        <f aca="false">IF(N65=0,"",O65/N65)</f>
        <v>0.1</v>
      </c>
      <c r="Q65" s="2"/>
      <c r="R65" s="2" t="s">
        <v>254</v>
      </c>
    </row>
    <row r="66" customFormat="false" ht="15" hidden="false" customHeight="false" outlineLevel="0" collapsed="false">
      <c r="A66" s="2" t="s">
        <v>22</v>
      </c>
      <c r="B66" s="2" t="s">
        <v>255</v>
      </c>
      <c r="C66" s="2" t="s">
        <v>109</v>
      </c>
      <c r="D66" s="2" t="s">
        <v>110</v>
      </c>
      <c r="E66" s="2" t="s">
        <v>26</v>
      </c>
      <c r="F66" s="2" t="s">
        <v>250</v>
      </c>
      <c r="G66" s="2" t="s">
        <v>256</v>
      </c>
      <c r="H66" s="2" t="s">
        <v>257</v>
      </c>
      <c r="I66" s="11" t="n">
        <v>6</v>
      </c>
      <c r="J66" s="12" t="n">
        <v>1065</v>
      </c>
      <c r="K66" s="2" t="s">
        <v>253</v>
      </c>
      <c r="L66" s="11" t="n">
        <f aca="false">COUNTIF('Transaction Detail'!$A$2:$A$385,$R66)</f>
        <v>1</v>
      </c>
      <c r="M66" s="13" t="n">
        <v>0.1</v>
      </c>
      <c r="N66" s="12" t="n">
        <f aca="false">SUMIF('Transaction Detail'!$A$2:$A$385,$R66,'Transaction Detail'!$N$2:$N$385)</f>
        <v>164.67</v>
      </c>
      <c r="O66" s="12" t="n">
        <f aca="false">SUMIF('Transaction Detail'!$A$2:$A$385,$R66,'Transaction Detail'!$O$2:$O$385)</f>
        <v>16.47</v>
      </c>
      <c r="P66" s="14" t="n">
        <f aca="false">IF(N66=0,"",O66/N66)</f>
        <v>0.100018218254691</v>
      </c>
      <c r="Q66" s="2"/>
      <c r="R66" s="2" t="s">
        <v>258</v>
      </c>
    </row>
    <row r="67" customFormat="false" ht="15" hidden="false" customHeight="false" outlineLevel="0" collapsed="false">
      <c r="A67" s="2" t="s">
        <v>22</v>
      </c>
      <c r="B67" s="2" t="s">
        <v>259</v>
      </c>
      <c r="C67" s="2" t="s">
        <v>109</v>
      </c>
      <c r="D67" s="2" t="s">
        <v>110</v>
      </c>
      <c r="E67" s="2" t="s">
        <v>26</v>
      </c>
      <c r="F67" s="2" t="s">
        <v>250</v>
      </c>
      <c r="G67" s="2" t="s">
        <v>260</v>
      </c>
      <c r="H67" s="2" t="s">
        <v>202</v>
      </c>
      <c r="I67" s="11" t="n">
        <v>6</v>
      </c>
      <c r="J67" s="12" t="n">
        <v>315</v>
      </c>
      <c r="K67" s="2" t="s">
        <v>253</v>
      </c>
      <c r="L67" s="11" t="n">
        <f aca="false">COUNTIF('Transaction Detail'!$A$2:$A$385,$R67)</f>
        <v>1</v>
      </c>
      <c r="M67" s="13" t="n">
        <v>0.1</v>
      </c>
      <c r="N67" s="12" t="n">
        <f aca="false">SUMIF('Transaction Detail'!$A$2:$A$385,$R67,'Transaction Detail'!$N$2:$N$385)</f>
        <v>77.5</v>
      </c>
      <c r="O67" s="12" t="n">
        <f aca="false">SUMIF('Transaction Detail'!$A$2:$A$385,$R67,'Transaction Detail'!$O$2:$O$385)</f>
        <v>7.75</v>
      </c>
      <c r="P67" s="14" t="n">
        <f aca="false">IF(N67=0,"",O67/N67)</f>
        <v>0.1</v>
      </c>
      <c r="Q67" s="2"/>
      <c r="R67" s="2" t="s">
        <v>261</v>
      </c>
    </row>
    <row r="68" customFormat="false" ht="15" hidden="false" customHeight="false" outlineLevel="0" collapsed="false">
      <c r="A68" s="2" t="s">
        <v>22</v>
      </c>
      <c r="B68" s="2" t="s">
        <v>262</v>
      </c>
      <c r="C68" s="2" t="s">
        <v>24</v>
      </c>
      <c r="D68" s="2" t="s">
        <v>110</v>
      </c>
      <c r="E68" s="2" t="s">
        <v>263</v>
      </c>
      <c r="F68" s="2" t="s">
        <v>27</v>
      </c>
      <c r="G68" s="2" t="s">
        <v>264</v>
      </c>
      <c r="H68" s="2" t="s">
        <v>265</v>
      </c>
      <c r="I68" s="11" t="n">
        <v>12</v>
      </c>
      <c r="J68" s="12"/>
      <c r="K68" s="2" t="s">
        <v>30</v>
      </c>
      <c r="L68" s="11" t="n">
        <f aca="false">COUNTIF('Transaction Detail'!$A$2:$A$385,$R68)</f>
        <v>0</v>
      </c>
      <c r="M68" s="11"/>
      <c r="N68" s="12" t="n">
        <f aca="false">SUMIF('Transaction Detail'!$A$2:$A$385,$R68,'Transaction Detail'!$N$2:$N$385)</f>
        <v>0</v>
      </c>
      <c r="O68" s="12" t="n">
        <f aca="false">SUMIF('Transaction Detail'!$A$2:$A$385,$R68,'Transaction Detail'!$O$2:$O$385)</f>
        <v>0</v>
      </c>
      <c r="P68" s="14" t="str">
        <f aca="false">IF(N68=0,"",O68/N68)</f>
        <v/>
      </c>
      <c r="Q68" s="2" t="s">
        <v>266</v>
      </c>
      <c r="R68" s="2" t="s">
        <v>267</v>
      </c>
    </row>
    <row r="69" customFormat="false" ht="15" hidden="false" customHeight="false" outlineLevel="0" collapsed="false">
      <c r="A69" s="2" t="s">
        <v>22</v>
      </c>
      <c r="B69" s="2" t="s">
        <v>268</v>
      </c>
      <c r="C69" s="2" t="s">
        <v>24</v>
      </c>
      <c r="D69" s="2" t="s">
        <v>110</v>
      </c>
      <c r="E69" s="2" t="s">
        <v>263</v>
      </c>
      <c r="F69" s="2" t="s">
        <v>27</v>
      </c>
      <c r="G69" s="2" t="s">
        <v>269</v>
      </c>
      <c r="H69" s="2" t="s">
        <v>270</v>
      </c>
      <c r="I69" s="11" t="n">
        <v>12</v>
      </c>
      <c r="J69" s="12"/>
      <c r="K69" s="2" t="s">
        <v>30</v>
      </c>
      <c r="L69" s="11" t="n">
        <f aca="false">COUNTIF('Transaction Detail'!$A$2:$A$385,$R69)</f>
        <v>0</v>
      </c>
      <c r="M69" s="11"/>
      <c r="N69" s="12" t="n">
        <f aca="false">SUMIF('Transaction Detail'!$A$2:$A$385,$R69,'Transaction Detail'!$N$2:$N$385)</f>
        <v>0</v>
      </c>
      <c r="O69" s="12" t="n">
        <f aca="false">SUMIF('Transaction Detail'!$A$2:$A$385,$R69,'Transaction Detail'!$O$2:$O$385)</f>
        <v>0</v>
      </c>
      <c r="P69" s="14" t="str">
        <f aca="false">IF(N69=0,"",O69/N69)</f>
        <v/>
      </c>
      <c r="Q69" s="2" t="s">
        <v>271</v>
      </c>
      <c r="R69" s="2" t="s">
        <v>272</v>
      </c>
    </row>
    <row r="70" customFormat="false" ht="15" hidden="false" customHeight="false" outlineLevel="0" collapsed="false">
      <c r="A70" s="2" t="s">
        <v>22</v>
      </c>
      <c r="B70" s="2" t="s">
        <v>273</v>
      </c>
      <c r="C70" s="2" t="s">
        <v>24</v>
      </c>
      <c r="D70" s="2" t="s">
        <v>110</v>
      </c>
      <c r="E70" s="2" t="s">
        <v>26</v>
      </c>
      <c r="F70" s="2" t="s">
        <v>27</v>
      </c>
      <c r="G70" s="2" t="s">
        <v>274</v>
      </c>
      <c r="H70" s="2" t="s">
        <v>275</v>
      </c>
      <c r="I70" s="11" t="n">
        <v>12</v>
      </c>
      <c r="J70" s="12"/>
      <c r="K70" s="2" t="s">
        <v>30</v>
      </c>
      <c r="L70" s="11" t="n">
        <f aca="false">COUNTIF('Transaction Detail'!$A$2:$A$385,$R70)</f>
        <v>0</v>
      </c>
      <c r="M70" s="11"/>
      <c r="N70" s="12" t="n">
        <f aca="false">SUMIF('Transaction Detail'!$A$2:$A$385,$R70,'Transaction Detail'!$N$2:$N$385)</f>
        <v>0</v>
      </c>
      <c r="O70" s="12" t="n">
        <f aca="false">SUMIF('Transaction Detail'!$A$2:$A$385,$R70,'Transaction Detail'!$O$2:$O$385)</f>
        <v>0</v>
      </c>
      <c r="P70" s="14" t="str">
        <f aca="false">IF(N70=0,"",O70/N70)</f>
        <v/>
      </c>
      <c r="Q70" s="2" t="s">
        <v>276</v>
      </c>
      <c r="R70" s="2" t="s">
        <v>277</v>
      </c>
    </row>
    <row r="71" customFormat="false" ht="15" hidden="false" customHeight="false" outlineLevel="0" collapsed="false">
      <c r="A71" s="2" t="s">
        <v>22</v>
      </c>
      <c r="B71" s="2" t="s">
        <v>278</v>
      </c>
      <c r="C71" s="2" t="s">
        <v>109</v>
      </c>
      <c r="D71" s="2" t="s">
        <v>110</v>
      </c>
      <c r="E71" s="2" t="s">
        <v>26</v>
      </c>
      <c r="F71" s="2" t="s">
        <v>27</v>
      </c>
      <c r="G71" s="2" t="s">
        <v>279</v>
      </c>
      <c r="H71" s="2" t="s">
        <v>60</v>
      </c>
      <c r="I71" s="11" t="n">
        <v>6</v>
      </c>
      <c r="J71" s="12" t="n">
        <v>1425</v>
      </c>
      <c r="K71" s="2" t="s">
        <v>30</v>
      </c>
      <c r="L71" s="11" t="n">
        <f aca="false">COUNTIF('Transaction Detail'!$A$2:$A$385,$R71)</f>
        <v>1</v>
      </c>
      <c r="M71" s="13" t="n">
        <v>0.1</v>
      </c>
      <c r="N71" s="12" t="n">
        <f aca="false">SUMIF('Transaction Detail'!$A$2:$A$385,$R71,'Transaction Detail'!$N$2:$N$385)</f>
        <v>1425</v>
      </c>
      <c r="O71" s="12" t="n">
        <f aca="false">SUMIF('Transaction Detail'!$A$2:$A$385,$R71,'Transaction Detail'!$O$2:$O$385)</f>
        <v>142.5</v>
      </c>
      <c r="P71" s="14" t="n">
        <f aca="false">IF(N71=0,"",O71/N71)</f>
        <v>0.1</v>
      </c>
      <c r="Q71" s="2"/>
      <c r="R71" s="2" t="s">
        <v>280</v>
      </c>
    </row>
    <row r="72" customFormat="false" ht="15" hidden="false" customHeight="false" outlineLevel="0" collapsed="false">
      <c r="A72" s="2" t="s">
        <v>22</v>
      </c>
      <c r="B72" s="2" t="s">
        <v>281</v>
      </c>
      <c r="C72" s="2" t="s">
        <v>24</v>
      </c>
      <c r="D72" s="2" t="s">
        <v>110</v>
      </c>
      <c r="E72" s="2" t="s">
        <v>26</v>
      </c>
      <c r="F72" s="2" t="s">
        <v>27</v>
      </c>
      <c r="G72" s="2" t="s">
        <v>282</v>
      </c>
      <c r="H72" s="2" t="s">
        <v>283</v>
      </c>
      <c r="I72" s="11" t="n">
        <v>12</v>
      </c>
      <c r="J72" s="12"/>
      <c r="K72" s="2" t="s">
        <v>30</v>
      </c>
      <c r="L72" s="11" t="n">
        <f aca="false">COUNTIF('Transaction Detail'!$A$2:$A$385,$R72)</f>
        <v>0</v>
      </c>
      <c r="M72" s="11"/>
      <c r="N72" s="12" t="n">
        <f aca="false">SUMIF('Transaction Detail'!$A$2:$A$385,$R72,'Transaction Detail'!$N$2:$N$385)</f>
        <v>0</v>
      </c>
      <c r="O72" s="12" t="n">
        <f aca="false">SUMIF('Transaction Detail'!$A$2:$A$385,$R72,'Transaction Detail'!$O$2:$O$385)</f>
        <v>0</v>
      </c>
      <c r="P72" s="14" t="str">
        <f aca="false">IF(N72=0,"",O72/N72)</f>
        <v/>
      </c>
      <c r="Q72" s="2" t="s">
        <v>284</v>
      </c>
      <c r="R72" s="2" t="s">
        <v>285</v>
      </c>
    </row>
    <row r="73" customFormat="false" ht="15" hidden="false" customHeight="false" outlineLevel="0" collapsed="false">
      <c r="A73" s="15"/>
      <c r="B73" s="15" t="s">
        <v>286</v>
      </c>
      <c r="C73" s="15"/>
      <c r="D73" s="15"/>
      <c r="E73" s="15"/>
      <c r="F73" s="15"/>
      <c r="G73" s="15"/>
      <c r="H73" s="15"/>
      <c r="I73" s="16"/>
      <c r="J73" s="17" t="n">
        <f aca="false">SUM(J28:J72)</f>
        <v>49272.55</v>
      </c>
      <c r="K73" s="15"/>
      <c r="L73" s="16"/>
      <c r="M73" s="16"/>
      <c r="N73" s="17" t="n">
        <f aca="false">SUM(N28:N72)</f>
        <v>34604.14</v>
      </c>
      <c r="O73" s="17" t="n">
        <f aca="false">SUM(O28:O72)</f>
        <v>3483.36</v>
      </c>
      <c r="P73" s="18" t="n">
        <f aca="false">IF(N73=0,"",O73/N73)</f>
        <v>0.100663099848746</v>
      </c>
      <c r="Q73" s="15"/>
      <c r="R73" s="2"/>
    </row>
    <row r="74" customFormat="false" ht="15" hidden="false" customHeight="false" outlineLevel="0" collapsed="false">
      <c r="A74" s="2"/>
      <c r="B74" s="2"/>
      <c r="C74" s="2"/>
      <c r="D74" s="2"/>
      <c r="E74" s="2"/>
      <c r="F74" s="2"/>
      <c r="G74" s="2"/>
      <c r="H74" s="2"/>
      <c r="I74" s="11"/>
      <c r="J74" s="12"/>
      <c r="K74" s="2"/>
      <c r="L74" s="11"/>
      <c r="M74" s="11"/>
      <c r="N74" s="12"/>
      <c r="O74" s="12"/>
      <c r="P74" s="14"/>
      <c r="Q74" s="2"/>
      <c r="R74" s="2"/>
    </row>
    <row r="75" customFormat="false" ht="15" hidden="false" customHeight="false" outlineLevel="0" collapsed="false">
      <c r="A75" s="15"/>
      <c r="B75" s="15" t="s">
        <v>287</v>
      </c>
      <c r="C75" s="15"/>
      <c r="D75" s="15"/>
      <c r="E75" s="15"/>
      <c r="F75" s="15"/>
      <c r="G75" s="15"/>
      <c r="H75" s="15"/>
      <c r="I75" s="16"/>
      <c r="J75" s="17" t="n">
        <f aca="false">J25+J73</f>
        <v>78381.95</v>
      </c>
      <c r="K75" s="15"/>
      <c r="L75" s="16"/>
      <c r="M75" s="16"/>
      <c r="N75" s="17" t="n">
        <f aca="false">N25+N73</f>
        <v>62233.03</v>
      </c>
      <c r="O75" s="17" t="n">
        <f aca="false">O25+O73</f>
        <v>6361.68</v>
      </c>
      <c r="P75" s="18" t="n">
        <f aca="false">IF(N75=0,"",O75/N75)</f>
        <v>0.102223529852234</v>
      </c>
      <c r="Q75" s="15"/>
      <c r="R75" s="2"/>
    </row>
    <row r="76" customFormat="false" ht="15" hidden="false" customHeight="false" outlineLevel="0" collapsed="false">
      <c r="A76" s="2"/>
      <c r="B76" s="2"/>
      <c r="C76" s="2"/>
      <c r="D76" s="2"/>
      <c r="E76" s="2"/>
      <c r="F76" s="2"/>
      <c r="G76" s="2"/>
      <c r="H76" s="2"/>
      <c r="I76" s="11"/>
      <c r="J76" s="12"/>
      <c r="K76" s="2"/>
      <c r="L76" s="11"/>
      <c r="M76" s="11"/>
      <c r="N76" s="12"/>
      <c r="O76" s="12"/>
      <c r="P76" s="14"/>
      <c r="Q76" s="2"/>
      <c r="R76" s="2"/>
    </row>
    <row r="77" customFormat="false" ht="15" hidden="false" customHeight="false" outlineLevel="0" collapsed="false">
      <c r="A77" s="6" t="s">
        <v>288</v>
      </c>
      <c r="B77" s="7"/>
      <c r="C77" s="7"/>
      <c r="D77" s="7"/>
      <c r="E77" s="7"/>
      <c r="F77" s="7"/>
      <c r="G77" s="7"/>
      <c r="H77" s="7"/>
      <c r="I77" s="8"/>
      <c r="J77" s="9"/>
      <c r="K77" s="7"/>
      <c r="L77" s="8"/>
      <c r="M77" s="8"/>
      <c r="N77" s="9"/>
      <c r="O77" s="9"/>
      <c r="P77" s="10"/>
      <c r="Q77" s="7"/>
      <c r="R77" s="2"/>
    </row>
    <row r="78" customFormat="false" ht="15" hidden="false" customHeight="false" outlineLevel="0" collapsed="false">
      <c r="A78" s="2" t="s">
        <v>22</v>
      </c>
      <c r="B78" s="2" t="s">
        <v>289</v>
      </c>
      <c r="C78" s="2" t="s">
        <v>290</v>
      </c>
      <c r="D78" s="2" t="s">
        <v>291</v>
      </c>
      <c r="E78" s="2" t="s">
        <v>44</v>
      </c>
      <c r="F78" s="2" t="s">
        <v>44</v>
      </c>
      <c r="G78" s="2" t="s">
        <v>292</v>
      </c>
      <c r="H78" s="2"/>
      <c r="I78" s="11"/>
      <c r="J78" s="12"/>
      <c r="K78" s="2" t="s">
        <v>47</v>
      </c>
      <c r="L78" s="11" t="n">
        <f aca="false">COUNTIF('Book Activity by Carrier'!$B$5:$B$129,$G78)</f>
        <v>1</v>
      </c>
      <c r="M78" s="13" t="n">
        <v>0.1</v>
      </c>
      <c r="N78" s="12" t="n">
        <f aca="false">SUMIF('Book Activity by Carrier'!$B$5:$B$129,$G78,'Book Activity by Carrier'!$G$5:$G$129)</f>
        <v>299.97</v>
      </c>
      <c r="O78" s="12" t="n">
        <f aca="false">SUMIF('Book Activity by Carrier'!$B$5:$B$129,$G78,'Book Activity by Carrier'!$J$5:$J$129)</f>
        <v>30</v>
      </c>
      <c r="P78" s="14" t="n">
        <f aca="false">IF(N78=0,"",O78/N78)</f>
        <v>0.1000100010001</v>
      </c>
      <c r="Q78" s="2" t="s">
        <v>293</v>
      </c>
      <c r="R78" s="2"/>
    </row>
    <row r="79" customFormat="false" ht="15" hidden="false" customHeight="false" outlineLevel="0" collapsed="false">
      <c r="A79" s="2" t="s">
        <v>22</v>
      </c>
      <c r="B79" s="2" t="s">
        <v>294</v>
      </c>
      <c r="C79" s="2" t="s">
        <v>295</v>
      </c>
      <c r="D79" s="2" t="s">
        <v>291</v>
      </c>
      <c r="E79" s="2" t="s">
        <v>44</v>
      </c>
      <c r="F79" s="2" t="s">
        <v>44</v>
      </c>
      <c r="G79" s="2" t="s">
        <v>296</v>
      </c>
      <c r="H79" s="2"/>
      <c r="I79" s="11"/>
      <c r="J79" s="12"/>
      <c r="K79" s="2" t="s">
        <v>47</v>
      </c>
      <c r="L79" s="11" t="n">
        <f aca="false">COUNTIF('Book Activity by Carrier'!$B$5:$B$129,$G79)</f>
        <v>1</v>
      </c>
      <c r="M79" s="13" t="n">
        <v>0.1</v>
      </c>
      <c r="N79" s="12" t="n">
        <f aca="false">SUMIF('Book Activity by Carrier'!$B$5:$B$129,$G79,'Book Activity by Carrier'!$G$5:$G$129)</f>
        <v>1794</v>
      </c>
      <c r="O79" s="12" t="n">
        <f aca="false">SUMIF('Book Activity by Carrier'!$B$5:$B$129,$G79,'Book Activity by Carrier'!$J$5:$J$129)</f>
        <v>179.4</v>
      </c>
      <c r="P79" s="14" t="n">
        <f aca="false">IF(N79=0,"",O79/N79)</f>
        <v>0.1</v>
      </c>
      <c r="Q79" s="2" t="s">
        <v>297</v>
      </c>
      <c r="R79" s="2"/>
    </row>
    <row r="80" customFormat="false" ht="15" hidden="false" customHeight="false" outlineLevel="0" collapsed="false">
      <c r="A80" s="2" t="s">
        <v>22</v>
      </c>
      <c r="B80" s="2" t="s">
        <v>298</v>
      </c>
      <c r="C80" s="2" t="s">
        <v>290</v>
      </c>
      <c r="D80" s="2" t="s">
        <v>291</v>
      </c>
      <c r="E80" s="2" t="s">
        <v>44</v>
      </c>
      <c r="F80" s="2" t="s">
        <v>44</v>
      </c>
      <c r="G80" s="2" t="s">
        <v>299</v>
      </c>
      <c r="H80" s="2"/>
      <c r="I80" s="11"/>
      <c r="J80" s="12"/>
      <c r="K80" s="2" t="s">
        <v>47</v>
      </c>
      <c r="L80" s="11" t="n">
        <f aca="false">COUNTIF('Book Activity by Carrier'!$B$5:$B$129,$G80)</f>
        <v>1</v>
      </c>
      <c r="M80" s="13" t="n">
        <v>0.1</v>
      </c>
      <c r="N80" s="12" t="n">
        <f aca="false">SUMIF('Book Activity by Carrier'!$B$5:$B$129,$G80,'Book Activity by Carrier'!$G$5:$G$129)</f>
        <v>-592.29</v>
      </c>
      <c r="O80" s="12" t="n">
        <f aca="false">SUMIF('Book Activity by Carrier'!$B$5:$B$129,$G80,'Book Activity by Carrier'!$J$5:$J$129)</f>
        <v>-59.23</v>
      </c>
      <c r="P80" s="14" t="n">
        <f aca="false">IF(N80=0,"",O80/N80)</f>
        <v>0.10000168836212</v>
      </c>
      <c r="Q80" s="2" t="s">
        <v>300</v>
      </c>
      <c r="R80" s="2"/>
    </row>
    <row r="81" customFormat="false" ht="15" hidden="false" customHeight="false" outlineLevel="0" collapsed="false">
      <c r="A81" s="2" t="s">
        <v>22</v>
      </c>
      <c r="B81" s="2" t="s">
        <v>301</v>
      </c>
      <c r="C81" s="2" t="s">
        <v>290</v>
      </c>
      <c r="D81" s="2" t="s">
        <v>291</v>
      </c>
      <c r="E81" s="2" t="s">
        <v>44</v>
      </c>
      <c r="F81" s="2" t="s">
        <v>44</v>
      </c>
      <c r="G81" s="2" t="s">
        <v>302</v>
      </c>
      <c r="H81" s="2"/>
      <c r="I81" s="11"/>
      <c r="J81" s="12"/>
      <c r="K81" s="2" t="s">
        <v>47</v>
      </c>
      <c r="L81" s="11" t="n">
        <f aca="false">COUNTIF('Book Activity by Carrier'!$B$5:$B$129,$G81)</f>
        <v>1</v>
      </c>
      <c r="M81" s="13" t="n">
        <v>0.1</v>
      </c>
      <c r="N81" s="12" t="n">
        <f aca="false">SUMIF('Book Activity by Carrier'!$B$5:$B$129,$G81,'Book Activity by Carrier'!$G$5:$G$129)</f>
        <v>0</v>
      </c>
      <c r="O81" s="12" t="n">
        <f aca="false">SUMIF('Book Activity by Carrier'!$B$5:$B$129,$G81,'Book Activity by Carrier'!$J$5:$J$129)</f>
        <v>0</v>
      </c>
      <c r="P81" s="14" t="str">
        <f aca="false">IF(N81=0,"",O81/N81)</f>
        <v/>
      </c>
      <c r="Q81" s="2" t="s">
        <v>303</v>
      </c>
      <c r="R81" s="2"/>
    </row>
    <row r="82" customFormat="false" ht="15" hidden="false" customHeight="false" outlineLevel="0" collapsed="false">
      <c r="A82" s="2" t="s">
        <v>22</v>
      </c>
      <c r="B82" s="2" t="s">
        <v>304</v>
      </c>
      <c r="C82" s="2" t="s">
        <v>305</v>
      </c>
      <c r="D82" s="2" t="s">
        <v>291</v>
      </c>
      <c r="E82" s="2" t="s">
        <v>44</v>
      </c>
      <c r="F82" s="2" t="s">
        <v>44</v>
      </c>
      <c r="G82" s="2" t="s">
        <v>306</v>
      </c>
      <c r="H82" s="2"/>
      <c r="I82" s="11"/>
      <c r="J82" s="12"/>
      <c r="K82" s="2" t="s">
        <v>47</v>
      </c>
      <c r="L82" s="11" t="n">
        <f aca="false">COUNTIF('Book Activity by Carrier'!$B$5:$B$129,$G82)</f>
        <v>1</v>
      </c>
      <c r="M82" s="13" t="n">
        <v>0.1</v>
      </c>
      <c r="N82" s="12" t="n">
        <f aca="false">SUMIF('Book Activity by Carrier'!$B$5:$B$129,$G82,'Book Activity by Carrier'!$G$5:$G$129)</f>
        <v>-133.12</v>
      </c>
      <c r="O82" s="12" t="n">
        <f aca="false">SUMIF('Book Activity by Carrier'!$B$5:$B$129,$G82,'Book Activity by Carrier'!$J$5:$J$129)</f>
        <v>-13.31</v>
      </c>
      <c r="P82" s="14" t="n">
        <f aca="false">IF(N82=0,"",O82/N82)</f>
        <v>0.0999849759615385</v>
      </c>
      <c r="Q82" s="2" t="s">
        <v>307</v>
      </c>
      <c r="R82" s="2"/>
    </row>
    <row r="83" customFormat="false" ht="15" hidden="false" customHeight="false" outlineLevel="0" collapsed="false">
      <c r="A83" s="2" t="s">
        <v>22</v>
      </c>
      <c r="B83" s="2" t="s">
        <v>308</v>
      </c>
      <c r="C83" s="2" t="s">
        <v>305</v>
      </c>
      <c r="D83" s="2" t="s">
        <v>291</v>
      </c>
      <c r="E83" s="2" t="s">
        <v>44</v>
      </c>
      <c r="F83" s="2" t="s">
        <v>44</v>
      </c>
      <c r="G83" s="2" t="s">
        <v>309</v>
      </c>
      <c r="H83" s="2"/>
      <c r="I83" s="11"/>
      <c r="J83" s="12"/>
      <c r="K83" s="2" t="s">
        <v>47</v>
      </c>
      <c r="L83" s="11" t="n">
        <f aca="false">COUNTIF('Book Activity by Carrier'!$B$5:$B$129,$G83)</f>
        <v>1</v>
      </c>
      <c r="M83" s="13" t="n">
        <v>0.1</v>
      </c>
      <c r="N83" s="12" t="n">
        <f aca="false">SUMIF('Book Activity by Carrier'!$B$5:$B$129,$G83,'Book Activity by Carrier'!$G$5:$G$129)</f>
        <v>-26.08</v>
      </c>
      <c r="O83" s="12" t="n">
        <f aca="false">SUMIF('Book Activity by Carrier'!$B$5:$B$129,$G83,'Book Activity by Carrier'!$J$5:$J$129)</f>
        <v>-2.61</v>
      </c>
      <c r="P83" s="14" t="n">
        <f aca="false">IF(N83=0,"",O83/N83)</f>
        <v>0.100076687116564</v>
      </c>
      <c r="Q83" s="2" t="s">
        <v>310</v>
      </c>
      <c r="R83" s="2"/>
    </row>
    <row r="84" customFormat="false" ht="15" hidden="false" customHeight="false" outlineLevel="0" collapsed="false">
      <c r="A84" s="2" t="s">
        <v>22</v>
      </c>
      <c r="B84" s="2" t="s">
        <v>311</v>
      </c>
      <c r="C84" s="2" t="s">
        <v>312</v>
      </c>
      <c r="D84" s="2" t="s">
        <v>291</v>
      </c>
      <c r="E84" s="2" t="s">
        <v>44</v>
      </c>
      <c r="F84" s="2" t="s">
        <v>44</v>
      </c>
      <c r="G84" s="2" t="s">
        <v>313</v>
      </c>
      <c r="H84" s="2"/>
      <c r="I84" s="11"/>
      <c r="J84" s="12"/>
      <c r="K84" s="2" t="s">
        <v>47</v>
      </c>
      <c r="L84" s="11" t="n">
        <f aca="false">COUNTIF('Book Activity by Carrier'!$B$5:$B$129,$G84)</f>
        <v>1</v>
      </c>
      <c r="M84" s="13" t="n">
        <v>0.12</v>
      </c>
      <c r="N84" s="12" t="n">
        <f aca="false">SUMIF('Book Activity by Carrier'!$B$5:$B$129,$G84,'Book Activity by Carrier'!$G$5:$G$129)</f>
        <v>-736.55</v>
      </c>
      <c r="O84" s="12" t="n">
        <f aca="false">SUMIF('Book Activity by Carrier'!$B$5:$B$129,$G84,'Book Activity by Carrier'!$J$5:$J$129)</f>
        <v>-88.39</v>
      </c>
      <c r="P84" s="14" t="n">
        <f aca="false">IF(N84=0,"",O84/N84)</f>
        <v>0.120005430724323</v>
      </c>
      <c r="Q84" s="2" t="s">
        <v>314</v>
      </c>
      <c r="R84" s="2"/>
    </row>
    <row r="85" customFormat="false" ht="15" hidden="false" customHeight="false" outlineLevel="0" collapsed="false">
      <c r="A85" s="2" t="s">
        <v>22</v>
      </c>
      <c r="B85" s="2" t="s">
        <v>315</v>
      </c>
      <c r="C85" s="2" t="s">
        <v>312</v>
      </c>
      <c r="D85" s="2" t="s">
        <v>291</v>
      </c>
      <c r="E85" s="2" t="s">
        <v>44</v>
      </c>
      <c r="F85" s="2" t="s">
        <v>44</v>
      </c>
      <c r="G85" s="2" t="s">
        <v>316</v>
      </c>
      <c r="H85" s="2"/>
      <c r="I85" s="11"/>
      <c r="J85" s="12"/>
      <c r="K85" s="2" t="s">
        <v>47</v>
      </c>
      <c r="L85" s="11" t="n">
        <f aca="false">COUNTIF('Book Activity by Carrier'!$B$5:$B$129,$G85)</f>
        <v>1</v>
      </c>
      <c r="M85" s="13" t="n">
        <v>0.1</v>
      </c>
      <c r="N85" s="12" t="n">
        <f aca="false">SUMIF('Book Activity by Carrier'!$B$5:$B$129,$G85,'Book Activity by Carrier'!$G$5:$G$129)</f>
        <v>-579.3</v>
      </c>
      <c r="O85" s="12" t="n">
        <f aca="false">SUMIF('Book Activity by Carrier'!$B$5:$B$129,$G85,'Book Activity by Carrier'!$J$5:$J$129)</f>
        <v>-57.93</v>
      </c>
      <c r="P85" s="14" t="n">
        <f aca="false">IF(N85=0,"",O85/N85)</f>
        <v>0.1</v>
      </c>
      <c r="Q85" s="2" t="s">
        <v>317</v>
      </c>
      <c r="R85" s="2"/>
    </row>
    <row r="86" customFormat="false" ht="15" hidden="false" customHeight="false" outlineLevel="0" collapsed="false">
      <c r="A86" s="2" t="s">
        <v>22</v>
      </c>
      <c r="B86" s="2" t="s">
        <v>318</v>
      </c>
      <c r="C86" s="2" t="s">
        <v>312</v>
      </c>
      <c r="D86" s="2" t="s">
        <v>291</v>
      </c>
      <c r="E86" s="2" t="s">
        <v>44</v>
      </c>
      <c r="F86" s="2" t="s">
        <v>44</v>
      </c>
      <c r="G86" s="2" t="s">
        <v>319</v>
      </c>
      <c r="H86" s="2"/>
      <c r="I86" s="11"/>
      <c r="J86" s="12"/>
      <c r="K86" s="2" t="s">
        <v>47</v>
      </c>
      <c r="L86" s="11" t="n">
        <f aca="false">COUNTIF('Book Activity by Carrier'!$B$5:$B$129,$G86)</f>
        <v>2</v>
      </c>
      <c r="M86" s="13" t="n">
        <v>0.1</v>
      </c>
      <c r="N86" s="12" t="n">
        <f aca="false">SUMIF('Book Activity by Carrier'!$B$5:$B$129,$G86,'Book Activity by Carrier'!$G$5:$G$129)</f>
        <v>-1313.54</v>
      </c>
      <c r="O86" s="12" t="n">
        <f aca="false">SUMIF('Book Activity by Carrier'!$B$5:$B$129,$G86,'Book Activity by Carrier'!$J$5:$J$129)</f>
        <v>-131.36</v>
      </c>
      <c r="P86" s="14" t="n">
        <f aca="false">IF(N86=0,"",O86/N86)</f>
        <v>0.100004567809126</v>
      </c>
      <c r="Q86" s="2" t="s">
        <v>320</v>
      </c>
      <c r="R86" s="2"/>
    </row>
    <row r="87" customFormat="false" ht="15" hidden="false" customHeight="false" outlineLevel="0" collapsed="false">
      <c r="A87" s="2" t="s">
        <v>22</v>
      </c>
      <c r="B87" s="2" t="s">
        <v>321</v>
      </c>
      <c r="C87" s="2" t="s">
        <v>312</v>
      </c>
      <c r="D87" s="2" t="s">
        <v>291</v>
      </c>
      <c r="E87" s="2" t="s">
        <v>44</v>
      </c>
      <c r="F87" s="2" t="s">
        <v>44</v>
      </c>
      <c r="G87" s="2" t="s">
        <v>322</v>
      </c>
      <c r="H87" s="2"/>
      <c r="I87" s="11"/>
      <c r="J87" s="12"/>
      <c r="K87" s="2" t="s">
        <v>47</v>
      </c>
      <c r="L87" s="11" t="n">
        <f aca="false">COUNTIF('Book Activity by Carrier'!$B$5:$B$129,$G87)</f>
        <v>1</v>
      </c>
      <c r="M87" s="13" t="n">
        <v>0.14</v>
      </c>
      <c r="N87" s="12" t="n">
        <f aca="false">SUMIF('Book Activity by Carrier'!$B$5:$B$129,$G87,'Book Activity by Carrier'!$G$5:$G$129)</f>
        <v>-33.64</v>
      </c>
      <c r="O87" s="12" t="n">
        <f aca="false">SUMIF('Book Activity by Carrier'!$B$5:$B$129,$G87,'Book Activity by Carrier'!$J$5:$J$129)</f>
        <v>-4.71</v>
      </c>
      <c r="P87" s="14" t="n">
        <f aca="false">IF(N87=0,"",O87/N87)</f>
        <v>0.140011890606421</v>
      </c>
      <c r="Q87" s="2" t="s">
        <v>323</v>
      </c>
      <c r="R87" s="2"/>
    </row>
    <row r="88" customFormat="false" ht="15" hidden="false" customHeight="false" outlineLevel="0" collapsed="false">
      <c r="A88" s="2" t="s">
        <v>22</v>
      </c>
      <c r="B88" s="2" t="s">
        <v>324</v>
      </c>
      <c r="C88" s="2" t="s">
        <v>325</v>
      </c>
      <c r="D88" s="2" t="s">
        <v>291</v>
      </c>
      <c r="E88" s="2" t="s">
        <v>44</v>
      </c>
      <c r="F88" s="2" t="s">
        <v>44</v>
      </c>
      <c r="G88" s="2" t="s">
        <v>326</v>
      </c>
      <c r="H88" s="2"/>
      <c r="I88" s="11"/>
      <c r="J88" s="12"/>
      <c r="K88" s="2" t="s">
        <v>47</v>
      </c>
      <c r="L88" s="11" t="n">
        <f aca="false">COUNTIF('Book Activity by Carrier'!$B$5:$B$129,$G88)</f>
        <v>1</v>
      </c>
      <c r="M88" s="13" t="n">
        <v>0.1</v>
      </c>
      <c r="N88" s="12" t="n">
        <f aca="false">SUMIF('Book Activity by Carrier'!$B$5:$B$129,$G88,'Book Activity by Carrier'!$G$5:$G$129)</f>
        <v>-744.72</v>
      </c>
      <c r="O88" s="12" t="n">
        <f aca="false">SUMIF('Book Activity by Carrier'!$B$5:$B$129,$G88,'Book Activity by Carrier'!$J$5:$J$129)</f>
        <v>-74.47</v>
      </c>
      <c r="P88" s="14" t="n">
        <f aca="false">IF(N88=0,"",O88/N88)</f>
        <v>0.0999973144268987</v>
      </c>
      <c r="Q88" s="2" t="s">
        <v>327</v>
      </c>
      <c r="R88" s="2"/>
    </row>
    <row r="89" customFormat="false" ht="15" hidden="false" customHeight="false" outlineLevel="0" collapsed="false">
      <c r="A89" s="2" t="s">
        <v>22</v>
      </c>
      <c r="B89" s="2" t="s">
        <v>328</v>
      </c>
      <c r="C89" s="2" t="s">
        <v>295</v>
      </c>
      <c r="D89" s="2" t="s">
        <v>291</v>
      </c>
      <c r="E89" s="2" t="s">
        <v>44</v>
      </c>
      <c r="F89" s="2" t="s">
        <v>44</v>
      </c>
      <c r="G89" s="2" t="s">
        <v>329</v>
      </c>
      <c r="H89" s="2"/>
      <c r="I89" s="11"/>
      <c r="J89" s="12"/>
      <c r="K89" s="2" t="s">
        <v>47</v>
      </c>
      <c r="L89" s="11" t="n">
        <f aca="false">COUNTIF('Book Activity by Carrier'!$B$5:$B$129,$G89)</f>
        <v>2</v>
      </c>
      <c r="M89" s="13" t="n">
        <v>0.12</v>
      </c>
      <c r="N89" s="12" t="n">
        <f aca="false">SUMIF('Book Activity by Carrier'!$B$5:$B$129,$G89,'Book Activity by Carrier'!$G$5:$G$129)</f>
        <v>1227</v>
      </c>
      <c r="O89" s="12" t="n">
        <f aca="false">SUMIF('Book Activity by Carrier'!$B$5:$B$129,$G89,'Book Activity by Carrier'!$J$5:$J$129)</f>
        <v>147.24</v>
      </c>
      <c r="P89" s="14" t="n">
        <f aca="false">IF(N89=0,"",O89/N89)</f>
        <v>0.12</v>
      </c>
      <c r="Q89" s="2" t="s">
        <v>330</v>
      </c>
      <c r="R89" s="2"/>
    </row>
    <row r="90" customFormat="false" ht="15" hidden="false" customHeight="false" outlineLevel="0" collapsed="false">
      <c r="A90" s="2" t="s">
        <v>22</v>
      </c>
      <c r="B90" s="2" t="s">
        <v>331</v>
      </c>
      <c r="C90" s="2" t="s">
        <v>312</v>
      </c>
      <c r="D90" s="2" t="s">
        <v>291</v>
      </c>
      <c r="E90" s="2" t="s">
        <v>44</v>
      </c>
      <c r="F90" s="2" t="s">
        <v>44</v>
      </c>
      <c r="G90" s="2" t="s">
        <v>332</v>
      </c>
      <c r="H90" s="2"/>
      <c r="I90" s="11"/>
      <c r="J90" s="12"/>
      <c r="K90" s="2" t="s">
        <v>47</v>
      </c>
      <c r="L90" s="11" t="n">
        <f aca="false">COUNTIF('Book Activity by Carrier'!$B$5:$B$129,$G90)</f>
        <v>3</v>
      </c>
      <c r="M90" s="13" t="n">
        <v>0.1</v>
      </c>
      <c r="N90" s="12" t="n">
        <f aca="false">SUMIF('Book Activity by Carrier'!$B$5:$B$129,$G90,'Book Activity by Carrier'!$G$5:$G$129)</f>
        <v>-269.22</v>
      </c>
      <c r="O90" s="12" t="n">
        <f aca="false">SUMIF('Book Activity by Carrier'!$B$5:$B$129,$G90,'Book Activity by Carrier'!$J$5:$J$129)</f>
        <v>-26.93</v>
      </c>
      <c r="P90" s="14" t="n">
        <f aca="false">IF(N90=0,"",O90/N90)</f>
        <v>0.100029715474333</v>
      </c>
      <c r="Q90" s="2" t="s">
        <v>333</v>
      </c>
      <c r="R90" s="2"/>
    </row>
    <row r="91" customFormat="false" ht="15" hidden="false" customHeight="false" outlineLevel="0" collapsed="false">
      <c r="A91" s="2" t="s">
        <v>22</v>
      </c>
      <c r="B91" s="2" t="s">
        <v>334</v>
      </c>
      <c r="C91" s="2" t="s">
        <v>305</v>
      </c>
      <c r="D91" s="2" t="s">
        <v>291</v>
      </c>
      <c r="E91" s="2" t="s">
        <v>44</v>
      </c>
      <c r="F91" s="2" t="s">
        <v>44</v>
      </c>
      <c r="G91" s="2" t="s">
        <v>335</v>
      </c>
      <c r="H91" s="2"/>
      <c r="I91" s="11"/>
      <c r="J91" s="12"/>
      <c r="K91" s="2" t="s">
        <v>47</v>
      </c>
      <c r="L91" s="11" t="n">
        <f aca="false">COUNTIF('Book Activity by Carrier'!$B$5:$B$129,$G91)</f>
        <v>1</v>
      </c>
      <c r="M91" s="13" t="n">
        <v>0.1</v>
      </c>
      <c r="N91" s="12" t="n">
        <f aca="false">SUMIF('Book Activity by Carrier'!$B$5:$B$129,$G91,'Book Activity by Carrier'!$G$5:$G$129)</f>
        <v>-547</v>
      </c>
      <c r="O91" s="12" t="n">
        <f aca="false">SUMIF('Book Activity by Carrier'!$B$5:$B$129,$G91,'Book Activity by Carrier'!$J$5:$J$129)</f>
        <v>-54.7</v>
      </c>
      <c r="P91" s="14" t="n">
        <f aca="false">IF(N91=0,"",O91/N91)</f>
        <v>0.1</v>
      </c>
      <c r="Q91" s="2" t="s">
        <v>336</v>
      </c>
      <c r="R91" s="2"/>
    </row>
    <row r="92" customFormat="false" ht="15" hidden="false" customHeight="false" outlineLevel="0" collapsed="false">
      <c r="A92" s="2" t="s">
        <v>22</v>
      </c>
      <c r="B92" s="2" t="s">
        <v>337</v>
      </c>
      <c r="C92" s="2" t="s">
        <v>338</v>
      </c>
      <c r="D92" s="2" t="s">
        <v>291</v>
      </c>
      <c r="E92" s="2" t="s">
        <v>44</v>
      </c>
      <c r="F92" s="2" t="s">
        <v>44</v>
      </c>
      <c r="G92" s="2" t="s">
        <v>339</v>
      </c>
      <c r="H92" s="2"/>
      <c r="I92" s="11"/>
      <c r="J92" s="12"/>
      <c r="K92" s="2" t="s">
        <v>47</v>
      </c>
      <c r="L92" s="11" t="n">
        <f aca="false">COUNTIF('Book Activity by Carrier'!$B$5:$B$129,$G92)</f>
        <v>1</v>
      </c>
      <c r="M92" s="13" t="n">
        <v>0.1</v>
      </c>
      <c r="N92" s="12" t="n">
        <f aca="false">SUMIF('Book Activity by Carrier'!$B$5:$B$129,$G92,'Book Activity by Carrier'!$G$5:$G$129)</f>
        <v>-84.14</v>
      </c>
      <c r="O92" s="12" t="n">
        <f aca="false">SUMIF('Book Activity by Carrier'!$B$5:$B$129,$G92,'Book Activity by Carrier'!$J$5:$J$129)</f>
        <v>-8.41</v>
      </c>
      <c r="P92" s="14" t="n">
        <f aca="false">IF(N92=0,"",O92/N92)</f>
        <v>0.0999524601854053</v>
      </c>
      <c r="Q92" s="2" t="s">
        <v>340</v>
      </c>
      <c r="R92" s="2"/>
    </row>
    <row r="93" customFormat="false" ht="15" hidden="false" customHeight="false" outlineLevel="0" collapsed="false">
      <c r="A93" s="2" t="s">
        <v>22</v>
      </c>
      <c r="B93" s="2" t="s">
        <v>341</v>
      </c>
      <c r="C93" s="2" t="s">
        <v>312</v>
      </c>
      <c r="D93" s="2" t="s">
        <v>291</v>
      </c>
      <c r="E93" s="2" t="s">
        <v>44</v>
      </c>
      <c r="F93" s="2" t="s">
        <v>44</v>
      </c>
      <c r="G93" s="2" t="s">
        <v>342</v>
      </c>
      <c r="H93" s="2"/>
      <c r="I93" s="11"/>
      <c r="J93" s="12"/>
      <c r="K93" s="2" t="s">
        <v>47</v>
      </c>
      <c r="L93" s="11" t="n">
        <f aca="false">COUNTIF('Book Activity by Carrier'!$B$5:$B$129,$G93)</f>
        <v>2</v>
      </c>
      <c r="M93" s="13" t="n">
        <v>0.1</v>
      </c>
      <c r="N93" s="12" t="n">
        <f aca="false">SUMIF('Book Activity by Carrier'!$B$5:$B$129,$G93,'Book Activity by Carrier'!$G$5:$G$129)</f>
        <v>-1235.61</v>
      </c>
      <c r="O93" s="12" t="n">
        <f aca="false">SUMIF('Book Activity by Carrier'!$B$5:$B$129,$G93,'Book Activity by Carrier'!$J$5:$J$129)</f>
        <v>-123.56</v>
      </c>
      <c r="P93" s="14" t="n">
        <f aca="false">IF(N93=0,"",O93/N93)</f>
        <v>0.0999991906831444</v>
      </c>
      <c r="Q93" s="2" t="s">
        <v>343</v>
      </c>
      <c r="R93" s="2"/>
    </row>
    <row r="94" customFormat="false" ht="15" hidden="false" customHeight="false" outlineLevel="0" collapsed="false">
      <c r="A94" s="2" t="s">
        <v>22</v>
      </c>
      <c r="B94" s="2" t="s">
        <v>344</v>
      </c>
      <c r="C94" s="2" t="s">
        <v>295</v>
      </c>
      <c r="D94" s="2" t="s">
        <v>291</v>
      </c>
      <c r="E94" s="2" t="s">
        <v>44</v>
      </c>
      <c r="F94" s="2" t="s">
        <v>44</v>
      </c>
      <c r="G94" s="2" t="s">
        <v>345</v>
      </c>
      <c r="H94" s="2"/>
      <c r="I94" s="11"/>
      <c r="J94" s="12"/>
      <c r="K94" s="2" t="s">
        <v>47</v>
      </c>
      <c r="L94" s="11" t="n">
        <f aca="false">COUNTIF('Book Activity by Carrier'!$B$5:$B$129,$G94)</f>
        <v>1</v>
      </c>
      <c r="M94" s="13" t="n">
        <v>0.1</v>
      </c>
      <c r="N94" s="12" t="n">
        <f aca="false">SUMIF('Book Activity by Carrier'!$B$5:$B$129,$G94,'Book Activity by Carrier'!$G$5:$G$129)</f>
        <v>1742</v>
      </c>
      <c r="O94" s="12" t="n">
        <f aca="false">SUMIF('Book Activity by Carrier'!$B$5:$B$129,$G94,'Book Activity by Carrier'!$J$5:$J$129)</f>
        <v>174.2</v>
      </c>
      <c r="P94" s="14" t="n">
        <f aca="false">IF(N94=0,"",O94/N94)</f>
        <v>0.1</v>
      </c>
      <c r="Q94" s="2" t="s">
        <v>346</v>
      </c>
      <c r="R94" s="2"/>
    </row>
    <row r="95" customFormat="false" ht="15" hidden="false" customHeight="false" outlineLevel="0" collapsed="false">
      <c r="A95" s="2" t="s">
        <v>22</v>
      </c>
      <c r="B95" s="2" t="s">
        <v>347</v>
      </c>
      <c r="C95" s="2" t="s">
        <v>295</v>
      </c>
      <c r="D95" s="2" t="s">
        <v>291</v>
      </c>
      <c r="E95" s="2" t="s">
        <v>44</v>
      </c>
      <c r="F95" s="2" t="s">
        <v>44</v>
      </c>
      <c r="G95" s="2" t="s">
        <v>348</v>
      </c>
      <c r="H95" s="2"/>
      <c r="I95" s="11"/>
      <c r="J95" s="12"/>
      <c r="K95" s="2" t="s">
        <v>47</v>
      </c>
      <c r="L95" s="11" t="n">
        <f aca="false">COUNTIF('Book Activity by Carrier'!$B$5:$B$129,$G95)</f>
        <v>1</v>
      </c>
      <c r="M95" s="13" t="n">
        <v>0.1</v>
      </c>
      <c r="N95" s="12" t="n">
        <f aca="false">SUMIF('Book Activity by Carrier'!$B$5:$B$129,$G95,'Book Activity by Carrier'!$G$5:$G$129)</f>
        <v>-16.24</v>
      </c>
      <c r="O95" s="12" t="n">
        <f aca="false">SUMIF('Book Activity by Carrier'!$B$5:$B$129,$G95,'Book Activity by Carrier'!$J$5:$J$129)</f>
        <v>-1.62</v>
      </c>
      <c r="P95" s="14" t="n">
        <f aca="false">IF(N95=0,"",O95/N95)</f>
        <v>0.0997536945812808</v>
      </c>
      <c r="Q95" s="2" t="s">
        <v>349</v>
      </c>
      <c r="R95" s="2"/>
    </row>
    <row r="96" customFormat="false" ht="15" hidden="false" customHeight="false" outlineLevel="0" collapsed="false">
      <c r="A96" s="2" t="s">
        <v>22</v>
      </c>
      <c r="B96" s="2" t="s">
        <v>350</v>
      </c>
      <c r="C96" s="2" t="s">
        <v>290</v>
      </c>
      <c r="D96" s="2" t="s">
        <v>291</v>
      </c>
      <c r="E96" s="2" t="s">
        <v>44</v>
      </c>
      <c r="F96" s="2" t="s">
        <v>44</v>
      </c>
      <c r="G96" s="2" t="s">
        <v>351</v>
      </c>
      <c r="H96" s="2"/>
      <c r="I96" s="11"/>
      <c r="J96" s="12"/>
      <c r="K96" s="2" t="s">
        <v>47</v>
      </c>
      <c r="L96" s="11" t="n">
        <f aca="false">COUNTIF('Book Activity by Carrier'!$B$5:$B$129,$G96)</f>
        <v>1</v>
      </c>
      <c r="M96" s="13" t="n">
        <v>0.1</v>
      </c>
      <c r="N96" s="12" t="n">
        <f aca="false">SUMIF('Book Activity by Carrier'!$B$5:$B$129,$G96,'Book Activity by Carrier'!$G$5:$G$129)</f>
        <v>-240.61</v>
      </c>
      <c r="O96" s="12" t="n">
        <f aca="false">SUMIF('Book Activity by Carrier'!$B$5:$B$129,$G96,'Book Activity by Carrier'!$J$5:$J$129)</f>
        <v>-24.06</v>
      </c>
      <c r="P96" s="14" t="n">
        <f aca="false">IF(N96=0,"",O96/N96)</f>
        <v>0.0999958438967624</v>
      </c>
      <c r="Q96" s="2" t="s">
        <v>352</v>
      </c>
      <c r="R96" s="2"/>
    </row>
    <row r="97" customFormat="false" ht="15" hidden="false" customHeight="false" outlineLevel="0" collapsed="false">
      <c r="A97" s="2" t="s">
        <v>22</v>
      </c>
      <c r="B97" s="2" t="s">
        <v>353</v>
      </c>
      <c r="C97" s="2" t="s">
        <v>295</v>
      </c>
      <c r="D97" s="2" t="s">
        <v>291</v>
      </c>
      <c r="E97" s="2" t="s">
        <v>44</v>
      </c>
      <c r="F97" s="2" t="s">
        <v>44</v>
      </c>
      <c r="G97" s="2" t="s">
        <v>354</v>
      </c>
      <c r="H97" s="2"/>
      <c r="I97" s="11"/>
      <c r="J97" s="12"/>
      <c r="K97" s="2" t="s">
        <v>47</v>
      </c>
      <c r="L97" s="11" t="n">
        <f aca="false">COUNTIF('Book Activity by Carrier'!$B$5:$B$129,$G97)</f>
        <v>1</v>
      </c>
      <c r="M97" s="13" t="n">
        <v>0.1</v>
      </c>
      <c r="N97" s="12" t="n">
        <f aca="false">SUMIF('Book Activity by Carrier'!$B$5:$B$129,$G97,'Book Activity by Carrier'!$G$5:$G$129)</f>
        <v>2048</v>
      </c>
      <c r="O97" s="12" t="n">
        <f aca="false">SUMIF('Book Activity by Carrier'!$B$5:$B$129,$G97,'Book Activity by Carrier'!$J$5:$J$129)</f>
        <v>204.8</v>
      </c>
      <c r="P97" s="14" t="n">
        <f aca="false">IF(N97=0,"",O97/N97)</f>
        <v>0.1</v>
      </c>
      <c r="Q97" s="2" t="s">
        <v>355</v>
      </c>
      <c r="R97" s="2"/>
    </row>
    <row r="98" customFormat="false" ht="15" hidden="false" customHeight="false" outlineLevel="0" collapsed="false">
      <c r="A98" s="2" t="s">
        <v>22</v>
      </c>
      <c r="B98" s="2" t="s">
        <v>356</v>
      </c>
      <c r="C98" s="2" t="s">
        <v>357</v>
      </c>
      <c r="D98" s="2" t="s">
        <v>291</v>
      </c>
      <c r="E98" s="2" t="s">
        <v>27</v>
      </c>
      <c r="F98" s="2" t="s">
        <v>27</v>
      </c>
      <c r="G98" s="2" t="s">
        <v>358</v>
      </c>
      <c r="H98" s="2"/>
      <c r="I98" s="11"/>
      <c r="J98" s="12"/>
      <c r="K98" s="2" t="s">
        <v>30</v>
      </c>
      <c r="L98" s="11" t="n">
        <f aca="false">COUNTIF('Book Activity by Carrier'!$B$5:$B$129,$G98)</f>
        <v>1</v>
      </c>
      <c r="M98" s="13" t="n">
        <v>0.1</v>
      </c>
      <c r="N98" s="12" t="n">
        <f aca="false">SUMIF('Book Activity by Carrier'!$B$5:$B$129,$G98,'Book Activity by Carrier'!$G$5:$G$129)</f>
        <v>361</v>
      </c>
      <c r="O98" s="12" t="n">
        <f aca="false">SUMIF('Book Activity by Carrier'!$B$5:$B$129,$G98,'Book Activity by Carrier'!$J$5:$J$129)</f>
        <v>36.1</v>
      </c>
      <c r="P98" s="14" t="n">
        <f aca="false">IF(N98=0,"",O98/N98)</f>
        <v>0.1</v>
      </c>
      <c r="Q98" s="2" t="s">
        <v>359</v>
      </c>
      <c r="R98" s="2"/>
    </row>
    <row r="99" customFormat="false" ht="15" hidden="false" customHeight="false" outlineLevel="0" collapsed="false">
      <c r="A99" s="2" t="s">
        <v>22</v>
      </c>
      <c r="B99" s="2" t="s">
        <v>360</v>
      </c>
      <c r="C99" s="2" t="s">
        <v>361</v>
      </c>
      <c r="D99" s="2" t="s">
        <v>291</v>
      </c>
      <c r="E99" s="2" t="s">
        <v>27</v>
      </c>
      <c r="F99" s="2" t="s">
        <v>27</v>
      </c>
      <c r="G99" s="2" t="s">
        <v>362</v>
      </c>
      <c r="H99" s="2"/>
      <c r="I99" s="11"/>
      <c r="J99" s="12"/>
      <c r="K99" s="2" t="s">
        <v>30</v>
      </c>
      <c r="L99" s="11" t="n">
        <f aca="false">COUNTIF('Book Activity by Carrier'!$B$5:$B$129,$G99)</f>
        <v>2</v>
      </c>
      <c r="M99" s="13" t="n">
        <v>0.1</v>
      </c>
      <c r="N99" s="12" t="n">
        <f aca="false">SUMIF('Book Activity by Carrier'!$B$5:$B$129,$G99,'Book Activity by Carrier'!$G$5:$G$129)</f>
        <v>-3534</v>
      </c>
      <c r="O99" s="12" t="n">
        <f aca="false">SUMIF('Book Activity by Carrier'!$B$5:$B$129,$G99,'Book Activity by Carrier'!$J$5:$J$129)</f>
        <v>-353.4</v>
      </c>
      <c r="P99" s="14" t="n">
        <f aca="false">IF(N99=0,"",O99/N99)</f>
        <v>0.1</v>
      </c>
      <c r="Q99" s="2" t="s">
        <v>363</v>
      </c>
      <c r="R99" s="2"/>
    </row>
    <row r="100" customFormat="false" ht="15" hidden="false" customHeight="false" outlineLevel="0" collapsed="false">
      <c r="A100" s="2" t="s">
        <v>22</v>
      </c>
      <c r="B100" s="2" t="s">
        <v>364</v>
      </c>
      <c r="C100" s="2" t="s">
        <v>361</v>
      </c>
      <c r="D100" s="2" t="s">
        <v>291</v>
      </c>
      <c r="E100" s="2" t="s">
        <v>27</v>
      </c>
      <c r="F100" s="2" t="s">
        <v>27</v>
      </c>
      <c r="G100" s="2" t="s">
        <v>365</v>
      </c>
      <c r="H100" s="2"/>
      <c r="I100" s="11"/>
      <c r="J100" s="12"/>
      <c r="K100" s="2" t="s">
        <v>30</v>
      </c>
      <c r="L100" s="11" t="n">
        <f aca="false">COUNTIF('Book Activity by Carrier'!$B$5:$B$129,$G100)</f>
        <v>1</v>
      </c>
      <c r="M100" s="13" t="n">
        <v>0.1</v>
      </c>
      <c r="N100" s="12" t="n">
        <f aca="false">SUMIF('Book Activity by Carrier'!$B$5:$B$129,$G100,'Book Activity by Carrier'!$G$5:$G$129)</f>
        <v>-460</v>
      </c>
      <c r="O100" s="12" t="n">
        <f aca="false">SUMIF('Book Activity by Carrier'!$B$5:$B$129,$G100,'Book Activity by Carrier'!$J$5:$J$129)</f>
        <v>-46</v>
      </c>
      <c r="P100" s="14" t="n">
        <f aca="false">IF(N100=0,"",O100/N100)</f>
        <v>0.1</v>
      </c>
      <c r="Q100" s="2" t="s">
        <v>366</v>
      </c>
      <c r="R100" s="2"/>
    </row>
    <row r="101" customFormat="false" ht="15" hidden="false" customHeight="false" outlineLevel="0" collapsed="false">
      <c r="A101" s="2" t="s">
        <v>22</v>
      </c>
      <c r="B101" s="2" t="s">
        <v>367</v>
      </c>
      <c r="C101" s="2" t="s">
        <v>305</v>
      </c>
      <c r="D101" s="2" t="s">
        <v>291</v>
      </c>
      <c r="E101" s="2" t="s">
        <v>27</v>
      </c>
      <c r="F101" s="2" t="s">
        <v>27</v>
      </c>
      <c r="G101" s="2" t="s">
        <v>368</v>
      </c>
      <c r="H101" s="2"/>
      <c r="I101" s="11"/>
      <c r="J101" s="12"/>
      <c r="K101" s="2" t="s">
        <v>30</v>
      </c>
      <c r="L101" s="11" t="n">
        <f aca="false">COUNTIF('Book Activity by Carrier'!$B$5:$B$129,$G101)</f>
        <v>2</v>
      </c>
      <c r="M101" s="13" t="n">
        <v>0.1</v>
      </c>
      <c r="N101" s="12" t="n">
        <f aca="false">SUMIF('Book Activity by Carrier'!$B$5:$B$129,$G101,'Book Activity by Carrier'!$G$5:$G$129)</f>
        <v>-50</v>
      </c>
      <c r="O101" s="12" t="n">
        <f aca="false">SUMIF('Book Activity by Carrier'!$B$5:$B$129,$G101,'Book Activity by Carrier'!$J$5:$J$129)</f>
        <v>-5</v>
      </c>
      <c r="P101" s="14" t="n">
        <f aca="false">IF(N101=0,"",O101/N101)</f>
        <v>0.1</v>
      </c>
      <c r="Q101" s="2" t="s">
        <v>369</v>
      </c>
      <c r="R101" s="2"/>
    </row>
    <row r="102" customFormat="false" ht="15" hidden="false" customHeight="false" outlineLevel="0" collapsed="false">
      <c r="A102" s="2" t="s">
        <v>22</v>
      </c>
      <c r="B102" s="2" t="s">
        <v>370</v>
      </c>
      <c r="C102" s="2" t="s">
        <v>305</v>
      </c>
      <c r="D102" s="2" t="s">
        <v>291</v>
      </c>
      <c r="E102" s="2" t="s">
        <v>27</v>
      </c>
      <c r="F102" s="2" t="s">
        <v>27</v>
      </c>
      <c r="G102" s="2" t="s">
        <v>371</v>
      </c>
      <c r="H102" s="2"/>
      <c r="I102" s="11"/>
      <c r="J102" s="12"/>
      <c r="K102" s="2" t="s">
        <v>30</v>
      </c>
      <c r="L102" s="11" t="n">
        <f aca="false">COUNTIF('Book Activity by Carrier'!$B$5:$B$129,$G102)</f>
        <v>1</v>
      </c>
      <c r="M102" s="13" t="n">
        <v>0.1</v>
      </c>
      <c r="N102" s="12" t="n">
        <f aca="false">SUMIF('Book Activity by Carrier'!$B$5:$B$129,$G102,'Book Activity by Carrier'!$G$5:$G$129)</f>
        <v>-698</v>
      </c>
      <c r="O102" s="12" t="n">
        <f aca="false">SUMIF('Book Activity by Carrier'!$B$5:$B$129,$G102,'Book Activity by Carrier'!$J$5:$J$129)</f>
        <v>-69.8</v>
      </c>
      <c r="P102" s="14" t="n">
        <f aca="false">IF(N102=0,"",O102/N102)</f>
        <v>0.1</v>
      </c>
      <c r="Q102" s="2" t="s">
        <v>372</v>
      </c>
      <c r="R102" s="2"/>
    </row>
    <row r="103" customFormat="false" ht="15" hidden="false" customHeight="false" outlineLevel="0" collapsed="false">
      <c r="A103" s="2" t="s">
        <v>22</v>
      </c>
      <c r="B103" s="2" t="s">
        <v>373</v>
      </c>
      <c r="C103" s="2" t="s">
        <v>290</v>
      </c>
      <c r="D103" s="2" t="s">
        <v>291</v>
      </c>
      <c r="E103" s="2" t="s">
        <v>27</v>
      </c>
      <c r="F103" s="2" t="s">
        <v>27</v>
      </c>
      <c r="G103" s="2" t="s">
        <v>374</v>
      </c>
      <c r="H103" s="2"/>
      <c r="I103" s="11"/>
      <c r="J103" s="12"/>
      <c r="K103" s="2" t="s">
        <v>30</v>
      </c>
      <c r="L103" s="11" t="n">
        <f aca="false">COUNTIF('Book Activity by Carrier'!$B$5:$B$129,$G103)</f>
        <v>1</v>
      </c>
      <c r="M103" s="13" t="n">
        <v>0.1</v>
      </c>
      <c r="N103" s="12" t="n">
        <f aca="false">SUMIF('Book Activity by Carrier'!$B$5:$B$129,$G103,'Book Activity by Carrier'!$G$5:$G$129)</f>
        <v>-2545</v>
      </c>
      <c r="O103" s="12" t="n">
        <f aca="false">SUMIF('Book Activity by Carrier'!$B$5:$B$129,$G103,'Book Activity by Carrier'!$J$5:$J$129)</f>
        <v>-254.5</v>
      </c>
      <c r="P103" s="14" t="n">
        <f aca="false">IF(N103=0,"",O103/N103)</f>
        <v>0.1</v>
      </c>
      <c r="Q103" s="2" t="s">
        <v>375</v>
      </c>
      <c r="R103" s="2"/>
    </row>
    <row r="104" customFormat="false" ht="15" hidden="false" customHeight="false" outlineLevel="0" collapsed="false">
      <c r="A104" s="2" t="s">
        <v>22</v>
      </c>
      <c r="B104" s="2" t="s">
        <v>376</v>
      </c>
      <c r="C104" s="2" t="s">
        <v>290</v>
      </c>
      <c r="D104" s="2" t="s">
        <v>291</v>
      </c>
      <c r="E104" s="2" t="s">
        <v>37</v>
      </c>
      <c r="F104" s="2" t="s">
        <v>37</v>
      </c>
      <c r="G104" s="2" t="s">
        <v>377</v>
      </c>
      <c r="H104" s="2"/>
      <c r="I104" s="11"/>
      <c r="J104" s="12"/>
      <c r="K104" s="2" t="s">
        <v>40</v>
      </c>
      <c r="L104" s="11" t="n">
        <f aca="false">COUNTIF('Book Activity by Carrier'!$B$5:$B$129,$G104)</f>
        <v>1</v>
      </c>
      <c r="M104" s="13" t="n">
        <v>0.1</v>
      </c>
      <c r="N104" s="12" t="n">
        <f aca="false">SUMIF('Book Activity by Carrier'!$B$5:$B$129,$G104,'Book Activity by Carrier'!$G$5:$G$129)</f>
        <v>269.1</v>
      </c>
      <c r="O104" s="12" t="n">
        <f aca="false">SUMIF('Book Activity by Carrier'!$B$5:$B$129,$G104,'Book Activity by Carrier'!$J$5:$J$129)</f>
        <v>26.91</v>
      </c>
      <c r="P104" s="14" t="n">
        <f aca="false">IF(N104=0,"",O104/N104)</f>
        <v>0.1</v>
      </c>
      <c r="Q104" s="2" t="s">
        <v>378</v>
      </c>
      <c r="R104" s="2"/>
    </row>
    <row r="105" customFormat="false" ht="15" hidden="false" customHeight="false" outlineLevel="0" collapsed="false">
      <c r="A105" s="2" t="s">
        <v>22</v>
      </c>
      <c r="B105" s="2" t="s">
        <v>379</v>
      </c>
      <c r="C105" s="2" t="s">
        <v>295</v>
      </c>
      <c r="D105" s="2" t="s">
        <v>291</v>
      </c>
      <c r="E105" s="2" t="s">
        <v>37</v>
      </c>
      <c r="F105" s="2" t="s">
        <v>37</v>
      </c>
      <c r="G105" s="2" t="s">
        <v>380</v>
      </c>
      <c r="H105" s="2"/>
      <c r="I105" s="11"/>
      <c r="J105" s="12"/>
      <c r="K105" s="2" t="s">
        <v>40</v>
      </c>
      <c r="L105" s="11" t="n">
        <f aca="false">COUNTIF('Book Activity by Carrier'!$B$5:$B$129,$G105)</f>
        <v>1</v>
      </c>
      <c r="M105" s="13" t="n">
        <v>0.1</v>
      </c>
      <c r="N105" s="12" t="n">
        <f aca="false">SUMIF('Book Activity by Carrier'!$B$5:$B$129,$G105,'Book Activity by Carrier'!$G$5:$G$129)</f>
        <v>178.9</v>
      </c>
      <c r="O105" s="12" t="n">
        <f aca="false">SUMIF('Book Activity by Carrier'!$B$5:$B$129,$G105,'Book Activity by Carrier'!$J$5:$J$129)</f>
        <v>17.89</v>
      </c>
      <c r="P105" s="14" t="n">
        <f aca="false">IF(N105=0,"",O105/N105)</f>
        <v>0.1</v>
      </c>
      <c r="Q105" s="2" t="s">
        <v>381</v>
      </c>
      <c r="R105" s="2"/>
    </row>
    <row r="106" customFormat="false" ht="15" hidden="false" customHeight="false" outlineLevel="0" collapsed="false">
      <c r="A106" s="2" t="s">
        <v>22</v>
      </c>
      <c r="B106" s="2" t="s">
        <v>382</v>
      </c>
      <c r="C106" s="2" t="s">
        <v>290</v>
      </c>
      <c r="D106" s="2" t="s">
        <v>291</v>
      </c>
      <c r="E106" s="2" t="s">
        <v>37</v>
      </c>
      <c r="F106" s="2" t="s">
        <v>37</v>
      </c>
      <c r="G106" s="2" t="s">
        <v>383</v>
      </c>
      <c r="H106" s="2"/>
      <c r="I106" s="11"/>
      <c r="J106" s="12"/>
      <c r="K106" s="2" t="s">
        <v>40</v>
      </c>
      <c r="L106" s="11" t="n">
        <f aca="false">COUNTIF('Book Activity by Carrier'!$B$5:$B$129,$G106)</f>
        <v>1</v>
      </c>
      <c r="M106" s="13" t="n">
        <v>0.1</v>
      </c>
      <c r="N106" s="12" t="n">
        <f aca="false">SUMIF('Book Activity by Carrier'!$B$5:$B$129,$G106,'Book Activity by Carrier'!$G$5:$G$129)</f>
        <v>212.9</v>
      </c>
      <c r="O106" s="12" t="n">
        <f aca="false">SUMIF('Book Activity by Carrier'!$B$5:$B$129,$G106,'Book Activity by Carrier'!$J$5:$J$129)</f>
        <v>21.29</v>
      </c>
      <c r="P106" s="14" t="n">
        <f aca="false">IF(N106=0,"",O106/N106)</f>
        <v>0.1</v>
      </c>
      <c r="Q106" s="2" t="s">
        <v>384</v>
      </c>
      <c r="R106" s="2"/>
    </row>
    <row r="107" customFormat="false" ht="15" hidden="false" customHeight="false" outlineLevel="0" collapsed="false">
      <c r="A107" s="2" t="s">
        <v>22</v>
      </c>
      <c r="B107" s="2" t="s">
        <v>385</v>
      </c>
      <c r="C107" s="2" t="s">
        <v>325</v>
      </c>
      <c r="D107" s="2" t="s">
        <v>291</v>
      </c>
      <c r="E107" s="2" t="s">
        <v>37</v>
      </c>
      <c r="F107" s="2" t="s">
        <v>37</v>
      </c>
      <c r="G107" s="2" t="s">
        <v>386</v>
      </c>
      <c r="H107" s="2"/>
      <c r="I107" s="11"/>
      <c r="J107" s="12"/>
      <c r="K107" s="2" t="s">
        <v>40</v>
      </c>
      <c r="L107" s="11" t="n">
        <f aca="false">COUNTIF('Book Activity by Carrier'!$B$5:$B$129,$G107)</f>
        <v>2</v>
      </c>
      <c r="M107" s="13" t="n">
        <v>0.1</v>
      </c>
      <c r="N107" s="12" t="n">
        <f aca="false">SUMIF('Book Activity by Carrier'!$B$5:$B$129,$G107,'Book Activity by Carrier'!$G$5:$G$129)</f>
        <v>202.2</v>
      </c>
      <c r="O107" s="12" t="n">
        <f aca="false">SUMIF('Book Activity by Carrier'!$B$5:$B$129,$G107,'Book Activity by Carrier'!$J$5:$J$129)</f>
        <v>20.22</v>
      </c>
      <c r="P107" s="14" t="n">
        <f aca="false">IF(N107=0,"",O107/N107)</f>
        <v>0.1</v>
      </c>
      <c r="Q107" s="2" t="s">
        <v>387</v>
      </c>
      <c r="R107" s="2"/>
    </row>
    <row r="108" customFormat="false" ht="15" hidden="false" customHeight="false" outlineLevel="0" collapsed="false">
      <c r="A108" s="2" t="s">
        <v>22</v>
      </c>
      <c r="B108" s="2" t="s">
        <v>388</v>
      </c>
      <c r="C108" s="2" t="s">
        <v>361</v>
      </c>
      <c r="D108" s="2" t="s">
        <v>291</v>
      </c>
      <c r="E108" s="2" t="s">
        <v>37</v>
      </c>
      <c r="F108" s="2" t="s">
        <v>37</v>
      </c>
      <c r="G108" s="2" t="s">
        <v>389</v>
      </c>
      <c r="H108" s="2"/>
      <c r="I108" s="11"/>
      <c r="J108" s="12"/>
      <c r="K108" s="2" t="s">
        <v>40</v>
      </c>
      <c r="L108" s="11" t="n">
        <f aca="false">COUNTIF('Book Activity by Carrier'!$B$5:$B$129,$G108)</f>
        <v>1</v>
      </c>
      <c r="M108" s="13" t="n">
        <v>0.1</v>
      </c>
      <c r="N108" s="12" t="n">
        <f aca="false">SUMIF('Book Activity by Carrier'!$B$5:$B$129,$G108,'Book Activity by Carrier'!$G$5:$G$129)</f>
        <v>420.7</v>
      </c>
      <c r="O108" s="12" t="n">
        <f aca="false">SUMIF('Book Activity by Carrier'!$B$5:$B$129,$G108,'Book Activity by Carrier'!$J$5:$J$129)</f>
        <v>42.07</v>
      </c>
      <c r="P108" s="14" t="n">
        <f aca="false">IF(N108=0,"",O108/N108)</f>
        <v>0.1</v>
      </c>
      <c r="Q108" s="2" t="s">
        <v>390</v>
      </c>
      <c r="R108" s="2"/>
    </row>
    <row r="109" customFormat="false" ht="15" hidden="false" customHeight="false" outlineLevel="0" collapsed="false">
      <c r="A109" s="2" t="s">
        <v>22</v>
      </c>
      <c r="B109" s="2" t="s">
        <v>391</v>
      </c>
      <c r="C109" s="2" t="s">
        <v>361</v>
      </c>
      <c r="D109" s="2" t="s">
        <v>291</v>
      </c>
      <c r="E109" s="2" t="s">
        <v>37</v>
      </c>
      <c r="F109" s="2" t="s">
        <v>37</v>
      </c>
      <c r="G109" s="2" t="s">
        <v>392</v>
      </c>
      <c r="H109" s="2"/>
      <c r="I109" s="11"/>
      <c r="J109" s="12"/>
      <c r="K109" s="2" t="s">
        <v>40</v>
      </c>
      <c r="L109" s="11" t="n">
        <f aca="false">COUNTIF('Book Activity by Carrier'!$B$5:$B$129,$G109)</f>
        <v>1</v>
      </c>
      <c r="M109" s="13" t="n">
        <v>0.1</v>
      </c>
      <c r="N109" s="12" t="n">
        <f aca="false">SUMIF('Book Activity by Carrier'!$B$5:$B$129,$G109,'Book Activity by Carrier'!$G$5:$G$129)</f>
        <v>190.6</v>
      </c>
      <c r="O109" s="12" t="n">
        <f aca="false">SUMIF('Book Activity by Carrier'!$B$5:$B$129,$G109,'Book Activity by Carrier'!$J$5:$J$129)</f>
        <v>19.06</v>
      </c>
      <c r="P109" s="14" t="n">
        <f aca="false">IF(N109=0,"",O109/N109)</f>
        <v>0.1</v>
      </c>
      <c r="Q109" s="2" t="s">
        <v>393</v>
      </c>
      <c r="R109" s="2"/>
    </row>
    <row r="110" customFormat="false" ht="15" hidden="false" customHeight="false" outlineLevel="0" collapsed="false">
      <c r="A110" s="2" t="s">
        <v>22</v>
      </c>
      <c r="B110" s="2" t="s">
        <v>394</v>
      </c>
      <c r="C110" s="2" t="s">
        <v>395</v>
      </c>
      <c r="D110" s="2" t="s">
        <v>291</v>
      </c>
      <c r="E110" s="2" t="s">
        <v>37</v>
      </c>
      <c r="F110" s="2" t="s">
        <v>37</v>
      </c>
      <c r="G110" s="2" t="s">
        <v>396</v>
      </c>
      <c r="H110" s="2"/>
      <c r="I110" s="11"/>
      <c r="J110" s="12"/>
      <c r="K110" s="2" t="s">
        <v>40</v>
      </c>
      <c r="L110" s="11" t="n">
        <f aca="false">COUNTIF('Book Activity by Carrier'!$B$5:$B$129,$G110)</f>
        <v>1</v>
      </c>
      <c r="M110" s="13" t="n">
        <v>0.1</v>
      </c>
      <c r="N110" s="12" t="n">
        <f aca="false">SUMIF('Book Activity by Carrier'!$B$5:$B$129,$G110,'Book Activity by Carrier'!$G$5:$G$129)</f>
        <v>94.4</v>
      </c>
      <c r="O110" s="12" t="n">
        <f aca="false">SUMIF('Book Activity by Carrier'!$B$5:$B$129,$G110,'Book Activity by Carrier'!$J$5:$J$129)</f>
        <v>9.44</v>
      </c>
      <c r="P110" s="14" t="n">
        <f aca="false">IF(N110=0,"",O110/N110)</f>
        <v>0.1</v>
      </c>
      <c r="Q110" s="2" t="s">
        <v>397</v>
      </c>
      <c r="R110" s="2"/>
    </row>
    <row r="111" customFormat="false" ht="15" hidden="false" customHeight="false" outlineLevel="0" collapsed="false">
      <c r="A111" s="2" t="s">
        <v>22</v>
      </c>
      <c r="B111" s="2" t="s">
        <v>398</v>
      </c>
      <c r="C111" s="2" t="s">
        <v>305</v>
      </c>
      <c r="D111" s="2" t="s">
        <v>291</v>
      </c>
      <c r="E111" s="2" t="s">
        <v>37</v>
      </c>
      <c r="F111" s="2" t="s">
        <v>37</v>
      </c>
      <c r="G111" s="2" t="s">
        <v>399</v>
      </c>
      <c r="H111" s="2"/>
      <c r="I111" s="11"/>
      <c r="J111" s="12"/>
      <c r="K111" s="2" t="s">
        <v>40</v>
      </c>
      <c r="L111" s="11" t="n">
        <f aca="false">COUNTIF('Book Activity by Carrier'!$B$5:$B$129,$G111)</f>
        <v>2</v>
      </c>
      <c r="M111" s="13" t="n">
        <v>0.1</v>
      </c>
      <c r="N111" s="12" t="n">
        <f aca="false">SUMIF('Book Activity by Carrier'!$B$5:$B$129,$G111,'Book Activity by Carrier'!$G$5:$G$129)</f>
        <v>0</v>
      </c>
      <c r="O111" s="12" t="n">
        <f aca="false">SUMIF('Book Activity by Carrier'!$B$5:$B$129,$G111,'Book Activity by Carrier'!$J$5:$J$129)</f>
        <v>0</v>
      </c>
      <c r="P111" s="14" t="str">
        <f aca="false">IF(N111=0,"",O111/N111)</f>
        <v/>
      </c>
      <c r="Q111" s="2" t="s">
        <v>303</v>
      </c>
      <c r="R111" s="2"/>
    </row>
    <row r="112" customFormat="false" ht="15" hidden="false" customHeight="false" outlineLevel="0" collapsed="false">
      <c r="A112" s="2" t="s">
        <v>22</v>
      </c>
      <c r="B112" s="2" t="s">
        <v>400</v>
      </c>
      <c r="C112" s="2" t="s">
        <v>312</v>
      </c>
      <c r="D112" s="2" t="s">
        <v>291</v>
      </c>
      <c r="E112" s="2" t="s">
        <v>37</v>
      </c>
      <c r="F112" s="2" t="s">
        <v>37</v>
      </c>
      <c r="G112" s="2" t="s">
        <v>401</v>
      </c>
      <c r="H112" s="2"/>
      <c r="I112" s="11"/>
      <c r="J112" s="12"/>
      <c r="K112" s="2" t="s">
        <v>40</v>
      </c>
      <c r="L112" s="11" t="n">
        <f aca="false">COUNTIF('Book Activity by Carrier'!$B$5:$B$129,$G112)</f>
        <v>2</v>
      </c>
      <c r="M112" s="13" t="n">
        <v>0.1</v>
      </c>
      <c r="N112" s="12" t="n">
        <f aca="false">SUMIF('Book Activity by Carrier'!$B$5:$B$129,$G112,'Book Activity by Carrier'!$G$5:$G$129)</f>
        <v>-2598</v>
      </c>
      <c r="O112" s="12" t="n">
        <f aca="false">SUMIF('Book Activity by Carrier'!$B$5:$B$129,$G112,'Book Activity by Carrier'!$J$5:$J$129)</f>
        <v>-259.8</v>
      </c>
      <c r="P112" s="14" t="n">
        <f aca="false">IF(N112=0,"",O112/N112)</f>
        <v>0.1</v>
      </c>
      <c r="Q112" s="2" t="s">
        <v>402</v>
      </c>
      <c r="R112" s="2"/>
    </row>
    <row r="113" customFormat="false" ht="15" hidden="false" customHeight="false" outlineLevel="0" collapsed="false">
      <c r="A113" s="2" t="s">
        <v>22</v>
      </c>
      <c r="B113" s="2" t="s">
        <v>403</v>
      </c>
      <c r="C113" s="2" t="s">
        <v>325</v>
      </c>
      <c r="D113" s="2" t="s">
        <v>291</v>
      </c>
      <c r="E113" s="2" t="s">
        <v>37</v>
      </c>
      <c r="F113" s="2" t="s">
        <v>37</v>
      </c>
      <c r="G113" s="2" t="s">
        <v>404</v>
      </c>
      <c r="H113" s="2"/>
      <c r="I113" s="11"/>
      <c r="J113" s="12"/>
      <c r="K113" s="2" t="s">
        <v>40</v>
      </c>
      <c r="L113" s="11" t="n">
        <f aca="false">COUNTIF('Book Activity by Carrier'!$B$5:$B$129,$G113)</f>
        <v>2</v>
      </c>
      <c r="M113" s="13" t="n">
        <v>0.1</v>
      </c>
      <c r="N113" s="12" t="n">
        <f aca="false">SUMIF('Book Activity by Carrier'!$B$5:$B$129,$G113,'Book Activity by Carrier'!$G$5:$G$129)</f>
        <v>82.6</v>
      </c>
      <c r="O113" s="12" t="n">
        <f aca="false">SUMIF('Book Activity by Carrier'!$B$5:$B$129,$G113,'Book Activity by Carrier'!$J$5:$J$129)</f>
        <v>8.26</v>
      </c>
      <c r="P113" s="14" t="n">
        <f aca="false">IF(N113=0,"",O113/N113)</f>
        <v>0.1</v>
      </c>
      <c r="Q113" s="2" t="s">
        <v>405</v>
      </c>
      <c r="R113" s="2"/>
    </row>
    <row r="114" customFormat="false" ht="15" hidden="false" customHeight="false" outlineLevel="0" collapsed="false">
      <c r="A114" s="2" t="s">
        <v>22</v>
      </c>
      <c r="B114" s="2" t="s">
        <v>406</v>
      </c>
      <c r="C114" s="2" t="s">
        <v>407</v>
      </c>
      <c r="D114" s="2" t="s">
        <v>291</v>
      </c>
      <c r="E114" s="2" t="s">
        <v>37</v>
      </c>
      <c r="F114" s="2" t="s">
        <v>37</v>
      </c>
      <c r="G114" s="2" t="s">
        <v>408</v>
      </c>
      <c r="H114" s="2"/>
      <c r="I114" s="11"/>
      <c r="J114" s="12"/>
      <c r="K114" s="2" t="s">
        <v>40</v>
      </c>
      <c r="L114" s="11" t="n">
        <f aca="false">COUNTIF('Book Activity by Carrier'!$B$5:$B$129,$G114)</f>
        <v>1</v>
      </c>
      <c r="M114" s="13" t="n">
        <v>0.1</v>
      </c>
      <c r="N114" s="12" t="n">
        <f aca="false">SUMIF('Book Activity by Carrier'!$B$5:$B$129,$G114,'Book Activity by Carrier'!$G$5:$G$129)</f>
        <v>158.8</v>
      </c>
      <c r="O114" s="12" t="n">
        <f aca="false">SUMIF('Book Activity by Carrier'!$B$5:$B$129,$G114,'Book Activity by Carrier'!$J$5:$J$129)</f>
        <v>15.88</v>
      </c>
      <c r="P114" s="14" t="n">
        <f aca="false">IF(N114=0,"",O114/N114)</f>
        <v>0.1</v>
      </c>
      <c r="Q114" s="2" t="s">
        <v>409</v>
      </c>
      <c r="R114" s="2"/>
    </row>
    <row r="115" customFormat="false" ht="15" hidden="false" customHeight="false" outlineLevel="0" collapsed="false">
      <c r="A115" s="2" t="s">
        <v>22</v>
      </c>
      <c r="B115" s="2" t="s">
        <v>410</v>
      </c>
      <c r="C115" s="2" t="s">
        <v>325</v>
      </c>
      <c r="D115" s="2" t="s">
        <v>291</v>
      </c>
      <c r="E115" s="2" t="s">
        <v>37</v>
      </c>
      <c r="F115" s="2" t="s">
        <v>37</v>
      </c>
      <c r="G115" s="2" t="s">
        <v>411</v>
      </c>
      <c r="H115" s="2"/>
      <c r="I115" s="11"/>
      <c r="J115" s="12"/>
      <c r="K115" s="2" t="s">
        <v>40</v>
      </c>
      <c r="L115" s="11" t="n">
        <f aca="false">COUNTIF('Book Activity by Carrier'!$B$5:$B$129,$G115)</f>
        <v>2</v>
      </c>
      <c r="M115" s="13" t="n">
        <v>0.1</v>
      </c>
      <c r="N115" s="12" t="n">
        <f aca="false">SUMIF('Book Activity by Carrier'!$B$5:$B$129,$G115,'Book Activity by Carrier'!$G$5:$G$129)</f>
        <v>0</v>
      </c>
      <c r="O115" s="12" t="n">
        <f aca="false">SUMIF('Book Activity by Carrier'!$B$5:$B$129,$G115,'Book Activity by Carrier'!$J$5:$J$129)</f>
        <v>0</v>
      </c>
      <c r="P115" s="14" t="str">
        <f aca="false">IF(N115=0,"",O115/N115)</f>
        <v/>
      </c>
      <c r="Q115" s="2" t="s">
        <v>303</v>
      </c>
      <c r="R115" s="2"/>
    </row>
    <row r="116" customFormat="false" ht="15" hidden="false" customHeight="false" outlineLevel="0" collapsed="false">
      <c r="A116" s="2" t="s">
        <v>22</v>
      </c>
      <c r="B116" s="2" t="s">
        <v>412</v>
      </c>
      <c r="C116" s="2" t="s">
        <v>325</v>
      </c>
      <c r="D116" s="2" t="s">
        <v>291</v>
      </c>
      <c r="E116" s="2" t="s">
        <v>37</v>
      </c>
      <c r="F116" s="2" t="s">
        <v>37</v>
      </c>
      <c r="G116" s="2" t="s">
        <v>413</v>
      </c>
      <c r="H116" s="2"/>
      <c r="I116" s="11"/>
      <c r="J116" s="12"/>
      <c r="K116" s="2" t="s">
        <v>40</v>
      </c>
      <c r="L116" s="11" t="n">
        <f aca="false">COUNTIF('Book Activity by Carrier'!$B$5:$B$129,$G116)</f>
        <v>4</v>
      </c>
      <c r="M116" s="13" t="n">
        <v>0.1</v>
      </c>
      <c r="N116" s="12" t="n">
        <f aca="false">SUMIF('Book Activity by Carrier'!$B$5:$B$129,$G116,'Book Activity by Carrier'!$G$5:$G$129)</f>
        <v>0</v>
      </c>
      <c r="O116" s="12" t="n">
        <f aca="false">SUMIF('Book Activity by Carrier'!$B$5:$B$129,$G116,'Book Activity by Carrier'!$J$5:$J$129)</f>
        <v>0</v>
      </c>
      <c r="P116" s="14" t="str">
        <f aca="false">IF(N116=0,"",O116/N116)</f>
        <v/>
      </c>
      <c r="Q116" s="2" t="s">
        <v>414</v>
      </c>
      <c r="R116" s="2"/>
    </row>
    <row r="117" customFormat="false" ht="15" hidden="false" customHeight="false" outlineLevel="0" collapsed="false">
      <c r="A117" s="2" t="s">
        <v>22</v>
      </c>
      <c r="B117" s="2" t="s">
        <v>415</v>
      </c>
      <c r="C117" s="2" t="s">
        <v>395</v>
      </c>
      <c r="D117" s="2" t="s">
        <v>291</v>
      </c>
      <c r="E117" s="2" t="s">
        <v>37</v>
      </c>
      <c r="F117" s="2" t="s">
        <v>37</v>
      </c>
      <c r="G117" s="2" t="s">
        <v>416</v>
      </c>
      <c r="H117" s="2"/>
      <c r="I117" s="11"/>
      <c r="J117" s="12"/>
      <c r="K117" s="2" t="s">
        <v>40</v>
      </c>
      <c r="L117" s="11" t="n">
        <f aca="false">COUNTIF('Book Activity by Carrier'!$B$5:$B$129,$G117)</f>
        <v>1</v>
      </c>
      <c r="M117" s="13" t="n">
        <v>0.1</v>
      </c>
      <c r="N117" s="12" t="n">
        <f aca="false">SUMIF('Book Activity by Carrier'!$B$5:$B$129,$G117,'Book Activity by Carrier'!$G$5:$G$129)</f>
        <v>232.5</v>
      </c>
      <c r="O117" s="12" t="n">
        <f aca="false">SUMIF('Book Activity by Carrier'!$B$5:$B$129,$G117,'Book Activity by Carrier'!$J$5:$J$129)</f>
        <v>23.25</v>
      </c>
      <c r="P117" s="14" t="n">
        <f aca="false">IF(N117=0,"",O117/N117)</f>
        <v>0.1</v>
      </c>
      <c r="Q117" s="2" t="s">
        <v>417</v>
      </c>
      <c r="R117" s="2"/>
    </row>
    <row r="118" customFormat="false" ht="15" hidden="false" customHeight="false" outlineLevel="0" collapsed="false">
      <c r="A118" s="2" t="s">
        <v>22</v>
      </c>
      <c r="B118" s="2" t="s">
        <v>418</v>
      </c>
      <c r="C118" s="2" t="s">
        <v>295</v>
      </c>
      <c r="D118" s="2" t="s">
        <v>291</v>
      </c>
      <c r="E118" s="2" t="s">
        <v>37</v>
      </c>
      <c r="F118" s="2" t="s">
        <v>37</v>
      </c>
      <c r="G118" s="2" t="s">
        <v>419</v>
      </c>
      <c r="H118" s="2"/>
      <c r="I118" s="11"/>
      <c r="J118" s="12"/>
      <c r="K118" s="2" t="s">
        <v>40</v>
      </c>
      <c r="L118" s="11" t="n">
        <f aca="false">COUNTIF('Book Activity by Carrier'!$B$5:$B$129,$G118)</f>
        <v>1</v>
      </c>
      <c r="M118" s="13" t="n">
        <v>0.1</v>
      </c>
      <c r="N118" s="12" t="n">
        <f aca="false">SUMIF('Book Activity by Carrier'!$B$5:$B$129,$G118,'Book Activity by Carrier'!$G$5:$G$129)</f>
        <v>146.8</v>
      </c>
      <c r="O118" s="12" t="n">
        <f aca="false">SUMIF('Book Activity by Carrier'!$B$5:$B$129,$G118,'Book Activity by Carrier'!$J$5:$J$129)</f>
        <v>14.68</v>
      </c>
      <c r="P118" s="14" t="n">
        <f aca="false">IF(N118=0,"",O118/N118)</f>
        <v>0.1</v>
      </c>
      <c r="Q118" s="2" t="s">
        <v>420</v>
      </c>
      <c r="R118" s="2"/>
    </row>
    <row r="119" customFormat="false" ht="15" hidden="false" customHeight="false" outlineLevel="0" collapsed="false">
      <c r="A119" s="2" t="s">
        <v>22</v>
      </c>
      <c r="B119" s="2" t="s">
        <v>421</v>
      </c>
      <c r="C119" s="2" t="s">
        <v>290</v>
      </c>
      <c r="D119" s="2" t="s">
        <v>291</v>
      </c>
      <c r="E119" s="2" t="s">
        <v>37</v>
      </c>
      <c r="F119" s="2" t="s">
        <v>37</v>
      </c>
      <c r="G119" s="2" t="s">
        <v>422</v>
      </c>
      <c r="H119" s="2"/>
      <c r="I119" s="11"/>
      <c r="J119" s="12"/>
      <c r="K119" s="2" t="s">
        <v>40</v>
      </c>
      <c r="L119" s="11" t="n">
        <f aca="false">COUNTIF('Book Activity by Carrier'!$B$5:$B$129,$G119)</f>
        <v>1</v>
      </c>
      <c r="M119" s="13" t="n">
        <v>0.1</v>
      </c>
      <c r="N119" s="12" t="n">
        <f aca="false">SUMIF('Book Activity by Carrier'!$B$5:$B$129,$G119,'Book Activity by Carrier'!$G$5:$G$129)</f>
        <v>122.6</v>
      </c>
      <c r="O119" s="12" t="n">
        <f aca="false">SUMIF('Book Activity by Carrier'!$B$5:$B$129,$G119,'Book Activity by Carrier'!$J$5:$J$129)</f>
        <v>12.26</v>
      </c>
      <c r="P119" s="14" t="n">
        <f aca="false">IF(N119=0,"",O119/N119)</f>
        <v>0.1</v>
      </c>
      <c r="Q119" s="2" t="s">
        <v>423</v>
      </c>
      <c r="R119" s="2"/>
    </row>
    <row r="120" customFormat="false" ht="15" hidden="false" customHeight="false" outlineLevel="0" collapsed="false">
      <c r="A120" s="2" t="s">
        <v>22</v>
      </c>
      <c r="B120" s="2" t="s">
        <v>424</v>
      </c>
      <c r="C120" s="2" t="s">
        <v>305</v>
      </c>
      <c r="D120" s="2" t="s">
        <v>291</v>
      </c>
      <c r="E120" s="2" t="s">
        <v>37</v>
      </c>
      <c r="F120" s="2" t="s">
        <v>37</v>
      </c>
      <c r="G120" s="2" t="s">
        <v>425</v>
      </c>
      <c r="H120" s="2"/>
      <c r="I120" s="11"/>
      <c r="J120" s="12"/>
      <c r="K120" s="2" t="s">
        <v>40</v>
      </c>
      <c r="L120" s="11" t="n">
        <f aca="false">COUNTIF('Book Activity by Carrier'!$B$5:$B$129,$G120)</f>
        <v>2</v>
      </c>
      <c r="M120" s="13" t="n">
        <v>0.1</v>
      </c>
      <c r="N120" s="12" t="n">
        <f aca="false">SUMIF('Book Activity by Carrier'!$B$5:$B$129,$G120,'Book Activity by Carrier'!$G$5:$G$129)</f>
        <v>18</v>
      </c>
      <c r="O120" s="12" t="n">
        <f aca="false">SUMIF('Book Activity by Carrier'!$B$5:$B$129,$G120,'Book Activity by Carrier'!$J$5:$J$129)</f>
        <v>1.8</v>
      </c>
      <c r="P120" s="14" t="n">
        <f aca="false">IF(N120=0,"",O120/N120)</f>
        <v>0.1</v>
      </c>
      <c r="Q120" s="2" t="s">
        <v>426</v>
      </c>
      <c r="R120" s="2"/>
    </row>
    <row r="121" customFormat="false" ht="15" hidden="false" customHeight="false" outlineLevel="0" collapsed="false">
      <c r="A121" s="2" t="s">
        <v>22</v>
      </c>
      <c r="B121" s="2" t="s">
        <v>427</v>
      </c>
      <c r="C121" s="2" t="s">
        <v>312</v>
      </c>
      <c r="D121" s="2" t="s">
        <v>291</v>
      </c>
      <c r="E121" s="2" t="s">
        <v>37</v>
      </c>
      <c r="F121" s="2" t="s">
        <v>37</v>
      </c>
      <c r="G121" s="2" t="s">
        <v>428</v>
      </c>
      <c r="H121" s="2"/>
      <c r="I121" s="11"/>
      <c r="J121" s="12"/>
      <c r="K121" s="2" t="s">
        <v>40</v>
      </c>
      <c r="L121" s="11" t="n">
        <f aca="false">COUNTIF('Book Activity by Carrier'!$B$5:$B$129,$G121)</f>
        <v>6</v>
      </c>
      <c r="M121" s="13" t="n">
        <v>0.1</v>
      </c>
      <c r="N121" s="12" t="n">
        <f aca="false">SUMIF('Book Activity by Carrier'!$B$5:$B$129,$G121,'Book Activity by Carrier'!$G$5:$G$129)</f>
        <v>-225</v>
      </c>
      <c r="O121" s="12" t="n">
        <f aca="false">SUMIF('Book Activity by Carrier'!$B$5:$B$129,$G121,'Book Activity by Carrier'!$J$5:$J$129)</f>
        <v>-22.5</v>
      </c>
      <c r="P121" s="14" t="n">
        <f aca="false">IF(N121=0,"",O121/N121)</f>
        <v>0.1</v>
      </c>
      <c r="Q121" s="2" t="s">
        <v>429</v>
      </c>
      <c r="R121" s="2"/>
    </row>
    <row r="122" customFormat="false" ht="15" hidden="false" customHeight="false" outlineLevel="0" collapsed="false">
      <c r="A122" s="2" t="s">
        <v>22</v>
      </c>
      <c r="B122" s="2" t="s">
        <v>430</v>
      </c>
      <c r="C122" s="2" t="s">
        <v>312</v>
      </c>
      <c r="D122" s="2" t="s">
        <v>291</v>
      </c>
      <c r="E122" s="2" t="s">
        <v>37</v>
      </c>
      <c r="F122" s="2" t="s">
        <v>37</v>
      </c>
      <c r="G122" s="2" t="s">
        <v>431</v>
      </c>
      <c r="H122" s="2"/>
      <c r="I122" s="11"/>
      <c r="J122" s="12"/>
      <c r="K122" s="2" t="s">
        <v>40</v>
      </c>
      <c r="L122" s="11" t="n">
        <f aca="false">COUNTIF('Book Activity by Carrier'!$B$5:$B$129,$G122)</f>
        <v>2</v>
      </c>
      <c r="M122" s="13" t="n">
        <v>0.1</v>
      </c>
      <c r="N122" s="12" t="n">
        <f aca="false">SUMIF('Book Activity by Carrier'!$B$5:$B$129,$G122,'Book Activity by Carrier'!$G$5:$G$129)</f>
        <v>157</v>
      </c>
      <c r="O122" s="12" t="n">
        <f aca="false">SUMIF('Book Activity by Carrier'!$B$5:$B$129,$G122,'Book Activity by Carrier'!$J$5:$J$129)</f>
        <v>15.7</v>
      </c>
      <c r="P122" s="14" t="n">
        <f aca="false">IF(N122=0,"",O122/N122)</f>
        <v>0.1</v>
      </c>
      <c r="Q122" s="2" t="s">
        <v>432</v>
      </c>
      <c r="R122" s="2"/>
    </row>
    <row r="123" customFormat="false" ht="15" hidden="false" customHeight="false" outlineLevel="0" collapsed="false">
      <c r="A123" s="2" t="s">
        <v>22</v>
      </c>
      <c r="B123" s="2" t="s">
        <v>433</v>
      </c>
      <c r="C123" s="2" t="s">
        <v>312</v>
      </c>
      <c r="D123" s="2" t="s">
        <v>291</v>
      </c>
      <c r="E123" s="2" t="s">
        <v>37</v>
      </c>
      <c r="F123" s="2" t="s">
        <v>37</v>
      </c>
      <c r="G123" s="2" t="s">
        <v>434</v>
      </c>
      <c r="H123" s="2"/>
      <c r="I123" s="11"/>
      <c r="J123" s="12"/>
      <c r="K123" s="2" t="s">
        <v>40</v>
      </c>
      <c r="L123" s="11" t="n">
        <f aca="false">COUNTIF('Book Activity by Carrier'!$B$5:$B$129,$G123)</f>
        <v>2</v>
      </c>
      <c r="M123" s="13" t="n">
        <v>0.1</v>
      </c>
      <c r="N123" s="12" t="n">
        <f aca="false">SUMIF('Book Activity by Carrier'!$B$5:$B$129,$G123,'Book Activity by Carrier'!$G$5:$G$129)</f>
        <v>-3162</v>
      </c>
      <c r="O123" s="12" t="n">
        <f aca="false">SUMIF('Book Activity by Carrier'!$B$5:$B$129,$G123,'Book Activity by Carrier'!$J$5:$J$129)</f>
        <v>-316.2</v>
      </c>
      <c r="P123" s="14" t="n">
        <f aca="false">IF(N123=0,"",O123/N123)</f>
        <v>0.1</v>
      </c>
      <c r="Q123" s="2" t="s">
        <v>435</v>
      </c>
      <c r="R123" s="2"/>
    </row>
    <row r="124" customFormat="false" ht="15" hidden="false" customHeight="false" outlineLevel="0" collapsed="false">
      <c r="A124" s="2" t="s">
        <v>22</v>
      </c>
      <c r="B124" s="2" t="s">
        <v>436</v>
      </c>
      <c r="C124" s="2" t="s">
        <v>325</v>
      </c>
      <c r="D124" s="2" t="s">
        <v>291</v>
      </c>
      <c r="E124" s="2" t="s">
        <v>37</v>
      </c>
      <c r="F124" s="2" t="s">
        <v>37</v>
      </c>
      <c r="G124" s="2" t="s">
        <v>437</v>
      </c>
      <c r="H124" s="2"/>
      <c r="I124" s="11"/>
      <c r="J124" s="12"/>
      <c r="K124" s="2" t="s">
        <v>40</v>
      </c>
      <c r="L124" s="11" t="n">
        <f aca="false">COUNTIF('Book Activity by Carrier'!$B$5:$B$129,$G124)</f>
        <v>2</v>
      </c>
      <c r="M124" s="13" t="n">
        <v>0.1</v>
      </c>
      <c r="N124" s="12" t="n">
        <f aca="false">SUMIF('Book Activity by Carrier'!$B$5:$B$129,$G124,'Book Activity by Carrier'!$G$5:$G$129)</f>
        <v>86</v>
      </c>
      <c r="O124" s="12" t="n">
        <f aca="false">SUMIF('Book Activity by Carrier'!$B$5:$B$129,$G124,'Book Activity by Carrier'!$J$5:$J$129)</f>
        <v>8.6</v>
      </c>
      <c r="P124" s="14" t="n">
        <f aca="false">IF(N124=0,"",O124/N124)</f>
        <v>0.1</v>
      </c>
      <c r="Q124" s="2" t="s">
        <v>438</v>
      </c>
      <c r="R124" s="2"/>
    </row>
    <row r="125" customFormat="false" ht="15" hidden="false" customHeight="false" outlineLevel="0" collapsed="false">
      <c r="A125" s="2" t="s">
        <v>22</v>
      </c>
      <c r="B125" s="2" t="s">
        <v>439</v>
      </c>
      <c r="C125" s="2" t="s">
        <v>325</v>
      </c>
      <c r="D125" s="2" t="s">
        <v>291</v>
      </c>
      <c r="E125" s="2" t="s">
        <v>37</v>
      </c>
      <c r="F125" s="2" t="s">
        <v>37</v>
      </c>
      <c r="G125" s="2" t="s">
        <v>440</v>
      </c>
      <c r="H125" s="2"/>
      <c r="I125" s="11"/>
      <c r="J125" s="12"/>
      <c r="K125" s="2" t="s">
        <v>40</v>
      </c>
      <c r="L125" s="11" t="n">
        <f aca="false">COUNTIF('Book Activity by Carrier'!$B$5:$B$129,$G125)</f>
        <v>4</v>
      </c>
      <c r="M125" s="13" t="n">
        <v>0.1</v>
      </c>
      <c r="N125" s="12" t="n">
        <f aca="false">SUMIF('Book Activity by Carrier'!$B$5:$B$129,$G125,'Book Activity by Carrier'!$G$5:$G$129)</f>
        <v>-2758</v>
      </c>
      <c r="O125" s="12" t="n">
        <f aca="false">SUMIF('Book Activity by Carrier'!$B$5:$B$129,$G125,'Book Activity by Carrier'!$J$5:$J$129)</f>
        <v>-275.8</v>
      </c>
      <c r="P125" s="14" t="n">
        <f aca="false">IF(N125=0,"",O125/N125)</f>
        <v>0.1</v>
      </c>
      <c r="Q125" s="2" t="s">
        <v>441</v>
      </c>
      <c r="R125" s="2"/>
    </row>
    <row r="126" customFormat="false" ht="15" hidden="false" customHeight="false" outlineLevel="0" collapsed="false">
      <c r="A126" s="2" t="s">
        <v>22</v>
      </c>
      <c r="B126" s="2" t="s">
        <v>442</v>
      </c>
      <c r="C126" s="2" t="s">
        <v>325</v>
      </c>
      <c r="D126" s="2" t="s">
        <v>291</v>
      </c>
      <c r="E126" s="2" t="s">
        <v>37</v>
      </c>
      <c r="F126" s="2" t="s">
        <v>37</v>
      </c>
      <c r="G126" s="2" t="s">
        <v>443</v>
      </c>
      <c r="H126" s="2"/>
      <c r="I126" s="11"/>
      <c r="J126" s="12"/>
      <c r="K126" s="2" t="s">
        <v>40</v>
      </c>
      <c r="L126" s="11" t="n">
        <f aca="false">COUNTIF('Book Activity by Carrier'!$B$5:$B$129,$G126)</f>
        <v>6</v>
      </c>
      <c r="M126" s="13" t="n">
        <v>0.1</v>
      </c>
      <c r="N126" s="12" t="n">
        <f aca="false">SUMIF('Book Activity by Carrier'!$B$5:$B$129,$G126,'Book Activity by Carrier'!$G$5:$G$129)</f>
        <v>-1235</v>
      </c>
      <c r="O126" s="12" t="n">
        <f aca="false">SUMIF('Book Activity by Carrier'!$B$5:$B$129,$G126,'Book Activity by Carrier'!$J$5:$J$129)</f>
        <v>-123.5</v>
      </c>
      <c r="P126" s="14" t="n">
        <f aca="false">IF(N126=0,"",O126/N126)</f>
        <v>0.1</v>
      </c>
      <c r="Q126" s="2" t="s">
        <v>444</v>
      </c>
      <c r="R126" s="2"/>
    </row>
    <row r="127" customFormat="false" ht="15" hidden="false" customHeight="false" outlineLevel="0" collapsed="false">
      <c r="A127" s="2" t="s">
        <v>22</v>
      </c>
      <c r="B127" s="2" t="s">
        <v>445</v>
      </c>
      <c r="C127" s="2" t="s">
        <v>305</v>
      </c>
      <c r="D127" s="2" t="s">
        <v>291</v>
      </c>
      <c r="E127" s="2" t="s">
        <v>37</v>
      </c>
      <c r="F127" s="2" t="s">
        <v>37</v>
      </c>
      <c r="G127" s="2" t="s">
        <v>446</v>
      </c>
      <c r="H127" s="2"/>
      <c r="I127" s="11"/>
      <c r="J127" s="12"/>
      <c r="K127" s="2" t="s">
        <v>40</v>
      </c>
      <c r="L127" s="11" t="n">
        <f aca="false">COUNTIF('Book Activity by Carrier'!$B$5:$B$129,$G127)</f>
        <v>2</v>
      </c>
      <c r="M127" s="13" t="n">
        <v>0.1</v>
      </c>
      <c r="N127" s="12" t="n">
        <f aca="false">SUMIF('Book Activity by Carrier'!$B$5:$B$129,$G127,'Book Activity by Carrier'!$G$5:$G$129)</f>
        <v>192</v>
      </c>
      <c r="O127" s="12" t="n">
        <f aca="false">SUMIF('Book Activity by Carrier'!$B$5:$B$129,$G127,'Book Activity by Carrier'!$J$5:$J$129)</f>
        <v>19.2</v>
      </c>
      <c r="P127" s="14" t="n">
        <f aca="false">IF(N127=0,"",O127/N127)</f>
        <v>0.1</v>
      </c>
      <c r="Q127" s="2" t="s">
        <v>447</v>
      </c>
      <c r="R127" s="2"/>
    </row>
    <row r="128" customFormat="false" ht="15" hidden="false" customHeight="false" outlineLevel="0" collapsed="false">
      <c r="A128" s="2" t="s">
        <v>22</v>
      </c>
      <c r="B128" s="2" t="s">
        <v>448</v>
      </c>
      <c r="C128" s="2" t="s">
        <v>312</v>
      </c>
      <c r="D128" s="2" t="s">
        <v>291</v>
      </c>
      <c r="E128" s="2" t="s">
        <v>37</v>
      </c>
      <c r="F128" s="2" t="s">
        <v>37</v>
      </c>
      <c r="G128" s="2" t="s">
        <v>449</v>
      </c>
      <c r="H128" s="2"/>
      <c r="I128" s="11"/>
      <c r="J128" s="12"/>
      <c r="K128" s="2" t="s">
        <v>40</v>
      </c>
      <c r="L128" s="11" t="n">
        <f aca="false">COUNTIF('Book Activity by Carrier'!$B$5:$B$129,$G128)</f>
        <v>2</v>
      </c>
      <c r="M128" s="13" t="n">
        <v>0.1</v>
      </c>
      <c r="N128" s="12" t="n">
        <f aca="false">SUMIF('Book Activity by Carrier'!$B$5:$B$129,$G128,'Book Activity by Carrier'!$G$5:$G$129)</f>
        <v>193</v>
      </c>
      <c r="O128" s="12" t="n">
        <f aca="false">SUMIF('Book Activity by Carrier'!$B$5:$B$129,$G128,'Book Activity by Carrier'!$J$5:$J$129)</f>
        <v>19.3</v>
      </c>
      <c r="P128" s="14" t="n">
        <f aca="false">IF(N128=0,"",O128/N128)</f>
        <v>0.1</v>
      </c>
      <c r="Q128" s="2" t="s">
        <v>450</v>
      </c>
      <c r="R128" s="2"/>
    </row>
    <row r="129" customFormat="false" ht="15" hidden="false" customHeight="false" outlineLevel="0" collapsed="false">
      <c r="A129" s="2" t="s">
        <v>22</v>
      </c>
      <c r="B129" s="2" t="s">
        <v>451</v>
      </c>
      <c r="C129" s="2" t="s">
        <v>452</v>
      </c>
      <c r="D129" s="2" t="s">
        <v>291</v>
      </c>
      <c r="E129" s="2" t="s">
        <v>37</v>
      </c>
      <c r="F129" s="2" t="s">
        <v>37</v>
      </c>
      <c r="G129" s="2" t="s">
        <v>453</v>
      </c>
      <c r="H129" s="2"/>
      <c r="I129" s="11"/>
      <c r="J129" s="12"/>
      <c r="K129" s="2" t="s">
        <v>40</v>
      </c>
      <c r="L129" s="11" t="n">
        <f aca="false">COUNTIF('Book Activity by Carrier'!$B$5:$B$129,$G129)</f>
        <v>1</v>
      </c>
      <c r="M129" s="13" t="n">
        <v>0.1</v>
      </c>
      <c r="N129" s="12" t="n">
        <f aca="false">SUMIF('Book Activity by Carrier'!$B$5:$B$129,$G129,'Book Activity by Carrier'!$G$5:$G$129)</f>
        <v>95.4</v>
      </c>
      <c r="O129" s="12" t="n">
        <f aca="false">SUMIF('Book Activity by Carrier'!$B$5:$B$129,$G129,'Book Activity by Carrier'!$J$5:$J$129)</f>
        <v>9.54</v>
      </c>
      <c r="P129" s="14" t="n">
        <f aca="false">IF(N129=0,"",O129/N129)</f>
        <v>0.1</v>
      </c>
      <c r="Q129" s="2" t="s">
        <v>454</v>
      </c>
      <c r="R129" s="2"/>
    </row>
    <row r="130" customFormat="false" ht="15" hidden="false" customHeight="false" outlineLevel="0" collapsed="false">
      <c r="A130" s="2" t="s">
        <v>22</v>
      </c>
      <c r="B130" s="2" t="s">
        <v>455</v>
      </c>
      <c r="C130" s="2" t="s">
        <v>325</v>
      </c>
      <c r="D130" s="2" t="s">
        <v>291</v>
      </c>
      <c r="E130" s="2" t="s">
        <v>37</v>
      </c>
      <c r="F130" s="2" t="s">
        <v>37</v>
      </c>
      <c r="G130" s="2" t="s">
        <v>456</v>
      </c>
      <c r="H130" s="2"/>
      <c r="I130" s="11"/>
      <c r="J130" s="12"/>
      <c r="K130" s="2" t="s">
        <v>40</v>
      </c>
      <c r="L130" s="11" t="n">
        <f aca="false">COUNTIF('Book Activity by Carrier'!$B$5:$B$129,$G130)</f>
        <v>2</v>
      </c>
      <c r="M130" s="13" t="n">
        <v>0.1</v>
      </c>
      <c r="N130" s="12" t="n">
        <f aca="false">SUMIF('Book Activity by Carrier'!$B$5:$B$129,$G130,'Book Activity by Carrier'!$G$5:$G$129)</f>
        <v>54.1</v>
      </c>
      <c r="O130" s="12" t="n">
        <f aca="false">SUMIF('Book Activity by Carrier'!$B$5:$B$129,$G130,'Book Activity by Carrier'!$J$5:$J$129)</f>
        <v>5.41</v>
      </c>
      <c r="P130" s="14" t="n">
        <f aca="false">IF(N130=0,"",O130/N130)</f>
        <v>0.1</v>
      </c>
      <c r="Q130" s="2" t="s">
        <v>457</v>
      </c>
      <c r="R130" s="2"/>
    </row>
    <row r="131" customFormat="false" ht="15" hidden="false" customHeight="false" outlineLevel="0" collapsed="false">
      <c r="A131" s="2" t="s">
        <v>22</v>
      </c>
      <c r="B131" s="2" t="s">
        <v>458</v>
      </c>
      <c r="C131" s="2" t="s">
        <v>325</v>
      </c>
      <c r="D131" s="2" t="s">
        <v>291</v>
      </c>
      <c r="E131" s="2" t="s">
        <v>37</v>
      </c>
      <c r="F131" s="2" t="s">
        <v>37</v>
      </c>
      <c r="G131" s="2" t="s">
        <v>459</v>
      </c>
      <c r="H131" s="2"/>
      <c r="I131" s="11"/>
      <c r="J131" s="12"/>
      <c r="K131" s="2" t="s">
        <v>40</v>
      </c>
      <c r="L131" s="11" t="n">
        <f aca="false">COUNTIF('Book Activity by Carrier'!$B$5:$B$129,$G131)</f>
        <v>2</v>
      </c>
      <c r="M131" s="13" t="n">
        <v>0.1</v>
      </c>
      <c r="N131" s="12" t="n">
        <f aca="false">SUMIF('Book Activity by Carrier'!$B$5:$B$129,$G131,'Book Activity by Carrier'!$G$5:$G$129)</f>
        <v>116.4</v>
      </c>
      <c r="O131" s="12" t="n">
        <f aca="false">SUMIF('Book Activity by Carrier'!$B$5:$B$129,$G131,'Book Activity by Carrier'!$J$5:$J$129)</f>
        <v>11.64</v>
      </c>
      <c r="P131" s="14" t="n">
        <f aca="false">IF(N131=0,"",O131/N131)</f>
        <v>0.1</v>
      </c>
      <c r="Q131" s="2" t="s">
        <v>460</v>
      </c>
      <c r="R131" s="2"/>
    </row>
    <row r="132" customFormat="false" ht="15" hidden="false" customHeight="false" outlineLevel="0" collapsed="false">
      <c r="A132" s="2" t="s">
        <v>22</v>
      </c>
      <c r="B132" s="2" t="s">
        <v>461</v>
      </c>
      <c r="C132" s="2" t="s">
        <v>290</v>
      </c>
      <c r="D132" s="2" t="s">
        <v>291</v>
      </c>
      <c r="E132" s="2" t="s">
        <v>37</v>
      </c>
      <c r="F132" s="2" t="s">
        <v>37</v>
      </c>
      <c r="G132" s="2" t="s">
        <v>462</v>
      </c>
      <c r="H132" s="2"/>
      <c r="I132" s="11"/>
      <c r="J132" s="12"/>
      <c r="K132" s="2" t="s">
        <v>40</v>
      </c>
      <c r="L132" s="11" t="n">
        <f aca="false">COUNTIF('Book Activity by Carrier'!$B$5:$B$129,$G132)</f>
        <v>1</v>
      </c>
      <c r="M132" s="13" t="n">
        <v>0.1</v>
      </c>
      <c r="N132" s="12" t="n">
        <f aca="false">SUMIF('Book Activity by Carrier'!$B$5:$B$129,$G132,'Book Activity by Carrier'!$G$5:$G$129)</f>
        <v>177.3</v>
      </c>
      <c r="O132" s="12" t="n">
        <f aca="false">SUMIF('Book Activity by Carrier'!$B$5:$B$129,$G132,'Book Activity by Carrier'!$J$5:$J$129)</f>
        <v>17.73</v>
      </c>
      <c r="P132" s="14" t="n">
        <f aca="false">IF(N132=0,"",O132/N132)</f>
        <v>0.1</v>
      </c>
      <c r="Q132" s="2" t="s">
        <v>463</v>
      </c>
      <c r="R132" s="2"/>
    </row>
    <row r="133" customFormat="false" ht="15" hidden="false" customHeight="false" outlineLevel="0" collapsed="false">
      <c r="A133" s="2" t="s">
        <v>22</v>
      </c>
      <c r="B133" s="2" t="s">
        <v>464</v>
      </c>
      <c r="C133" s="2" t="s">
        <v>407</v>
      </c>
      <c r="D133" s="2" t="s">
        <v>291</v>
      </c>
      <c r="E133" s="2" t="s">
        <v>208</v>
      </c>
      <c r="F133" s="2" t="s">
        <v>208</v>
      </c>
      <c r="G133" s="2" t="s">
        <v>465</v>
      </c>
      <c r="H133" s="2"/>
      <c r="I133" s="11"/>
      <c r="J133" s="12"/>
      <c r="K133" s="2" t="s">
        <v>210</v>
      </c>
      <c r="L133" s="11" t="n">
        <f aca="false">COUNTIF('Book Activity by Carrier'!$B$5:$B$129,$G133)</f>
        <v>2</v>
      </c>
      <c r="M133" s="13" t="n">
        <v>0.13</v>
      </c>
      <c r="N133" s="12" t="n">
        <f aca="false">SUMIF('Book Activity by Carrier'!$B$5:$B$129,$G133,'Book Activity by Carrier'!$G$5:$G$129)</f>
        <v>-462.42</v>
      </c>
      <c r="O133" s="12" t="n">
        <f aca="false">SUMIF('Book Activity by Carrier'!$B$5:$B$129,$G133,'Book Activity by Carrier'!$J$5:$J$129)</f>
        <v>-60.11</v>
      </c>
      <c r="P133" s="14" t="n">
        <f aca="false">IF(N133=0,"",O133/N133)</f>
        <v>0.129990052333377</v>
      </c>
      <c r="Q133" s="2" t="s">
        <v>466</v>
      </c>
      <c r="R133" s="2"/>
    </row>
    <row r="134" customFormat="false" ht="15" hidden="false" customHeight="false" outlineLevel="0" collapsed="false">
      <c r="A134" s="2" t="s">
        <v>22</v>
      </c>
      <c r="B134" s="2" t="s">
        <v>467</v>
      </c>
      <c r="C134" s="2" t="s">
        <v>290</v>
      </c>
      <c r="D134" s="2" t="s">
        <v>291</v>
      </c>
      <c r="E134" s="2" t="s">
        <v>236</v>
      </c>
      <c r="F134" s="2" t="s">
        <v>236</v>
      </c>
      <c r="G134" s="2" t="s">
        <v>468</v>
      </c>
      <c r="H134" s="2"/>
      <c r="I134" s="11"/>
      <c r="J134" s="12"/>
      <c r="K134" s="2" t="s">
        <v>238</v>
      </c>
      <c r="L134" s="11" t="n">
        <f aca="false">COUNTIF('Book Activity by Carrier'!$B$5:$B$129,$G134)</f>
        <v>1</v>
      </c>
      <c r="M134" s="13" t="n">
        <v>0.1</v>
      </c>
      <c r="N134" s="12" t="n">
        <f aca="false">SUMIF('Book Activity by Carrier'!$B$5:$B$129,$G134,'Book Activity by Carrier'!$G$5:$G$129)</f>
        <v>-42</v>
      </c>
      <c r="O134" s="12" t="n">
        <f aca="false">SUMIF('Book Activity by Carrier'!$B$5:$B$129,$G134,'Book Activity by Carrier'!$J$5:$J$129)</f>
        <v>-4.2</v>
      </c>
      <c r="P134" s="14" t="n">
        <f aca="false">IF(N134=0,"",O134/N134)</f>
        <v>0.1</v>
      </c>
      <c r="Q134" s="2" t="s">
        <v>469</v>
      </c>
      <c r="R134" s="2"/>
    </row>
    <row r="135" customFormat="false" ht="15" hidden="false" customHeight="false" outlineLevel="0" collapsed="false">
      <c r="A135" s="2" t="s">
        <v>22</v>
      </c>
      <c r="B135" s="2" t="s">
        <v>470</v>
      </c>
      <c r="C135" s="2" t="s">
        <v>305</v>
      </c>
      <c r="D135" s="2" t="s">
        <v>291</v>
      </c>
      <c r="E135" s="2" t="s">
        <v>236</v>
      </c>
      <c r="F135" s="2" t="s">
        <v>236</v>
      </c>
      <c r="G135" s="2" t="s">
        <v>471</v>
      </c>
      <c r="H135" s="2"/>
      <c r="I135" s="11"/>
      <c r="J135" s="12"/>
      <c r="K135" s="2" t="s">
        <v>238</v>
      </c>
      <c r="L135" s="11" t="n">
        <f aca="false">COUNTIF('Book Activity by Carrier'!$B$5:$B$129,$G135)</f>
        <v>1</v>
      </c>
      <c r="M135" s="13" t="n">
        <v>0.1</v>
      </c>
      <c r="N135" s="12" t="n">
        <f aca="false">SUMIF('Book Activity by Carrier'!$B$5:$B$129,$G135,'Book Activity by Carrier'!$G$5:$G$129)</f>
        <v>69</v>
      </c>
      <c r="O135" s="12" t="n">
        <f aca="false">SUMIF('Book Activity by Carrier'!$B$5:$B$129,$G135,'Book Activity by Carrier'!$J$5:$J$129)</f>
        <v>6.9</v>
      </c>
      <c r="P135" s="14" t="n">
        <f aca="false">IF(N135=0,"",O135/N135)</f>
        <v>0.1</v>
      </c>
      <c r="Q135" s="2" t="s">
        <v>472</v>
      </c>
      <c r="R135" s="2"/>
    </row>
    <row r="136" customFormat="false" ht="15" hidden="false" customHeight="false" outlineLevel="0" collapsed="false">
      <c r="A136" s="2" t="s">
        <v>22</v>
      </c>
      <c r="B136" s="2" t="s">
        <v>473</v>
      </c>
      <c r="C136" s="2" t="s">
        <v>474</v>
      </c>
      <c r="D136" s="2" t="s">
        <v>291</v>
      </c>
      <c r="E136" s="2" t="s">
        <v>236</v>
      </c>
      <c r="F136" s="2" t="s">
        <v>236</v>
      </c>
      <c r="G136" s="2" t="s">
        <v>475</v>
      </c>
      <c r="H136" s="2"/>
      <c r="I136" s="11"/>
      <c r="J136" s="12"/>
      <c r="K136" s="2" t="s">
        <v>238</v>
      </c>
      <c r="L136" s="11" t="n">
        <f aca="false">COUNTIF('Book Activity by Carrier'!$B$5:$B$129,$G136)</f>
        <v>1</v>
      </c>
      <c r="M136" s="13" t="n">
        <v>0.1</v>
      </c>
      <c r="N136" s="12" t="n">
        <f aca="false">SUMIF('Book Activity by Carrier'!$B$5:$B$129,$G136,'Book Activity by Carrier'!$G$5:$G$129)</f>
        <v>-57.3</v>
      </c>
      <c r="O136" s="12" t="n">
        <f aca="false">SUMIF('Book Activity by Carrier'!$B$5:$B$129,$G136,'Book Activity by Carrier'!$J$5:$J$129)</f>
        <v>-5.73</v>
      </c>
      <c r="P136" s="14" t="n">
        <f aca="false">IF(N136=0,"",O136/N136)</f>
        <v>0.1</v>
      </c>
      <c r="Q136" s="2" t="s">
        <v>476</v>
      </c>
      <c r="R136" s="2"/>
    </row>
    <row r="137" customFormat="false" ht="15" hidden="false" customHeight="false" outlineLevel="0" collapsed="false">
      <c r="A137" s="2" t="s">
        <v>22</v>
      </c>
      <c r="B137" s="2" t="s">
        <v>477</v>
      </c>
      <c r="C137" s="2" t="s">
        <v>305</v>
      </c>
      <c r="D137" s="2" t="s">
        <v>291</v>
      </c>
      <c r="E137" s="2" t="s">
        <v>236</v>
      </c>
      <c r="F137" s="2" t="s">
        <v>236</v>
      </c>
      <c r="G137" s="2" t="s">
        <v>478</v>
      </c>
      <c r="H137" s="2"/>
      <c r="I137" s="11"/>
      <c r="J137" s="12"/>
      <c r="K137" s="2" t="s">
        <v>238</v>
      </c>
      <c r="L137" s="11" t="n">
        <f aca="false">COUNTIF('Book Activity by Carrier'!$B$5:$B$129,$G137)</f>
        <v>1</v>
      </c>
      <c r="M137" s="13" t="n">
        <v>0.1</v>
      </c>
      <c r="N137" s="12" t="n">
        <f aca="false">SUMIF('Book Activity by Carrier'!$B$5:$B$129,$G137,'Book Activity by Carrier'!$G$5:$G$129)</f>
        <v>4</v>
      </c>
      <c r="O137" s="12" t="n">
        <f aca="false">SUMIF('Book Activity by Carrier'!$B$5:$B$129,$G137,'Book Activity by Carrier'!$J$5:$J$129)</f>
        <v>0.4</v>
      </c>
      <c r="P137" s="14" t="n">
        <f aca="false">IF(N137=0,"",O137/N137)</f>
        <v>0.1</v>
      </c>
      <c r="Q137" s="2" t="s">
        <v>479</v>
      </c>
      <c r="R137" s="2"/>
    </row>
    <row r="138" customFormat="false" ht="15" hidden="false" customHeight="false" outlineLevel="0" collapsed="false">
      <c r="A138" s="2" t="s">
        <v>22</v>
      </c>
      <c r="B138" s="2" t="s">
        <v>480</v>
      </c>
      <c r="C138" s="2" t="s">
        <v>325</v>
      </c>
      <c r="D138" s="2" t="s">
        <v>291</v>
      </c>
      <c r="E138" s="2" t="s">
        <v>236</v>
      </c>
      <c r="F138" s="2" t="s">
        <v>236</v>
      </c>
      <c r="G138" s="2" t="s">
        <v>481</v>
      </c>
      <c r="H138" s="2"/>
      <c r="I138" s="11"/>
      <c r="J138" s="12"/>
      <c r="K138" s="2" t="s">
        <v>238</v>
      </c>
      <c r="L138" s="11" t="n">
        <f aca="false">COUNTIF('Book Activity by Carrier'!$B$5:$B$129,$G138)</f>
        <v>1</v>
      </c>
      <c r="M138" s="13" t="n">
        <v>0.1</v>
      </c>
      <c r="N138" s="12" t="n">
        <f aca="false">SUMIF('Book Activity by Carrier'!$B$5:$B$129,$G138,'Book Activity by Carrier'!$G$5:$G$129)</f>
        <v>-791</v>
      </c>
      <c r="O138" s="12" t="n">
        <f aca="false">SUMIF('Book Activity by Carrier'!$B$5:$B$129,$G138,'Book Activity by Carrier'!$J$5:$J$129)</f>
        <v>-79.1</v>
      </c>
      <c r="P138" s="14" t="n">
        <f aca="false">IF(N138=0,"",O138/N138)</f>
        <v>0.1</v>
      </c>
      <c r="Q138" s="2" t="s">
        <v>482</v>
      </c>
      <c r="R138" s="2"/>
    </row>
    <row r="139" customFormat="false" ht="15" hidden="false" customHeight="false" outlineLevel="0" collapsed="false">
      <c r="A139" s="2" t="s">
        <v>22</v>
      </c>
      <c r="B139" s="2" t="s">
        <v>483</v>
      </c>
      <c r="C139" s="2" t="s">
        <v>295</v>
      </c>
      <c r="D139" s="2" t="s">
        <v>291</v>
      </c>
      <c r="E139" s="2" t="s">
        <v>236</v>
      </c>
      <c r="F139" s="2" t="s">
        <v>236</v>
      </c>
      <c r="G139" s="2" t="s">
        <v>484</v>
      </c>
      <c r="H139" s="2"/>
      <c r="I139" s="11"/>
      <c r="J139" s="12"/>
      <c r="K139" s="2" t="s">
        <v>238</v>
      </c>
      <c r="L139" s="11" t="n">
        <f aca="false">COUNTIF('Book Activity by Carrier'!$B$5:$B$129,$G139)</f>
        <v>1</v>
      </c>
      <c r="M139" s="13" t="n">
        <v>0.1</v>
      </c>
      <c r="N139" s="12" t="n">
        <f aca="false">SUMIF('Book Activity by Carrier'!$B$5:$B$129,$G139,'Book Activity by Carrier'!$G$5:$G$129)</f>
        <v>312</v>
      </c>
      <c r="O139" s="12" t="n">
        <f aca="false">SUMIF('Book Activity by Carrier'!$B$5:$B$129,$G139,'Book Activity by Carrier'!$J$5:$J$129)</f>
        <v>31.2</v>
      </c>
      <c r="P139" s="14" t="n">
        <f aca="false">IF(N139=0,"",O139/N139)</f>
        <v>0.1</v>
      </c>
      <c r="Q139" s="2" t="s">
        <v>485</v>
      </c>
      <c r="R139" s="2"/>
    </row>
    <row r="140" customFormat="false" ht="15" hidden="false" customHeight="false" outlineLevel="0" collapsed="false">
      <c r="A140" s="2" t="s">
        <v>22</v>
      </c>
      <c r="B140" s="2" t="s">
        <v>486</v>
      </c>
      <c r="C140" s="2" t="s">
        <v>312</v>
      </c>
      <c r="D140" s="2" t="s">
        <v>291</v>
      </c>
      <c r="E140" s="2" t="s">
        <v>236</v>
      </c>
      <c r="F140" s="2" t="s">
        <v>236</v>
      </c>
      <c r="G140" s="2" t="s">
        <v>487</v>
      </c>
      <c r="H140" s="2"/>
      <c r="I140" s="11"/>
      <c r="J140" s="12"/>
      <c r="K140" s="2" t="s">
        <v>238</v>
      </c>
      <c r="L140" s="11" t="n">
        <f aca="false">COUNTIF('Book Activity by Carrier'!$B$5:$B$129,$G140)</f>
        <v>1</v>
      </c>
      <c r="M140" s="13" t="n">
        <v>0.1</v>
      </c>
      <c r="N140" s="12" t="n">
        <f aca="false">SUMIF('Book Activity by Carrier'!$B$5:$B$129,$G140,'Book Activity by Carrier'!$G$5:$G$129)</f>
        <v>-1517</v>
      </c>
      <c r="O140" s="12" t="n">
        <f aca="false">SUMIF('Book Activity by Carrier'!$B$5:$B$129,$G140,'Book Activity by Carrier'!$J$5:$J$129)</f>
        <v>-151.7</v>
      </c>
      <c r="P140" s="14" t="n">
        <f aca="false">IF(N140=0,"",O140/N140)</f>
        <v>0.1</v>
      </c>
      <c r="Q140" s="2" t="s">
        <v>488</v>
      </c>
      <c r="R140" s="2"/>
    </row>
    <row r="141" customFormat="false" ht="15" hidden="false" customHeight="false" outlineLevel="0" collapsed="false">
      <c r="A141" s="2" t="s">
        <v>22</v>
      </c>
      <c r="B141" s="2" t="s">
        <v>489</v>
      </c>
      <c r="C141" s="2" t="s">
        <v>490</v>
      </c>
      <c r="D141" s="2" t="s">
        <v>291</v>
      </c>
      <c r="E141" s="2" t="s">
        <v>250</v>
      </c>
      <c r="F141" s="2" t="s">
        <v>250</v>
      </c>
      <c r="G141" s="2" t="s">
        <v>491</v>
      </c>
      <c r="H141" s="2"/>
      <c r="I141" s="11"/>
      <c r="J141" s="12"/>
      <c r="K141" s="2" t="s">
        <v>253</v>
      </c>
      <c r="L141" s="11" t="n">
        <f aca="false">COUNTIF('Book Activity by Carrier'!$B$5:$B$129,$G141)</f>
        <v>1</v>
      </c>
      <c r="M141" s="13" t="n">
        <v>0.1</v>
      </c>
      <c r="N141" s="12" t="n">
        <f aca="false">SUMIF('Book Activity by Carrier'!$B$5:$B$129,$G141,'Book Activity by Carrier'!$G$5:$G$129)</f>
        <v>0.65</v>
      </c>
      <c r="O141" s="12" t="n">
        <f aca="false">SUMIF('Book Activity by Carrier'!$B$5:$B$129,$G141,'Book Activity by Carrier'!$J$5:$J$129)</f>
        <v>0.07</v>
      </c>
      <c r="P141" s="14" t="n">
        <f aca="false">IF(N141=0,"",O141/N141)</f>
        <v>0.107692307692308</v>
      </c>
      <c r="Q141" s="2" t="s">
        <v>492</v>
      </c>
      <c r="R141" s="2"/>
    </row>
    <row r="142" customFormat="false" ht="15" hidden="false" customHeight="false" outlineLevel="0" collapsed="false">
      <c r="A142" s="2" t="s">
        <v>22</v>
      </c>
      <c r="B142" s="2" t="s">
        <v>493</v>
      </c>
      <c r="C142" s="2" t="s">
        <v>494</v>
      </c>
      <c r="D142" s="2" t="s">
        <v>291</v>
      </c>
      <c r="E142" s="2" t="s">
        <v>495</v>
      </c>
      <c r="F142" s="2" t="s">
        <v>496</v>
      </c>
      <c r="G142" s="2" t="s">
        <v>497</v>
      </c>
      <c r="H142" s="2"/>
      <c r="I142" s="11"/>
      <c r="J142" s="12"/>
      <c r="K142" s="2" t="s">
        <v>498</v>
      </c>
      <c r="L142" s="11" t="n">
        <f aca="false">COUNTIF('Book Activity by Carrier'!$B$5:$B$129,$G142)</f>
        <v>2</v>
      </c>
      <c r="M142" s="13" t="n">
        <v>0.12</v>
      </c>
      <c r="N142" s="12" t="n">
        <f aca="false">SUMIF('Book Activity by Carrier'!$B$5:$B$129,$G142,'Book Activity by Carrier'!$G$5:$G$129)</f>
        <v>-381.54</v>
      </c>
      <c r="O142" s="12" t="n">
        <f aca="false">SUMIF('Book Activity by Carrier'!$B$5:$B$129,$G142,'Book Activity by Carrier'!$J$5:$J$129)</f>
        <v>-45.78</v>
      </c>
      <c r="P142" s="14" t="n">
        <f aca="false">IF(N142=0,"",O142/N142)</f>
        <v>0.119987419405567</v>
      </c>
      <c r="Q142" s="2" t="s">
        <v>499</v>
      </c>
      <c r="R142" s="2"/>
    </row>
    <row r="143" customFormat="false" ht="15" hidden="false" customHeight="false" outlineLevel="0" collapsed="false">
      <c r="A143" s="15"/>
      <c r="B143" s="15" t="s">
        <v>500</v>
      </c>
      <c r="C143" s="15"/>
      <c r="D143" s="15"/>
      <c r="E143" s="15"/>
      <c r="F143" s="15"/>
      <c r="G143" s="15"/>
      <c r="H143" s="15"/>
      <c r="I143" s="16"/>
      <c r="J143" s="17"/>
      <c r="K143" s="15"/>
      <c r="L143" s="16"/>
      <c r="M143" s="16"/>
      <c r="N143" s="17" t="n">
        <f aca="false">SUM(N78:N142)</f>
        <v>-15809.4</v>
      </c>
      <c r="O143" s="17" t="n">
        <f aca="false">SUM(O78:O142)</f>
        <v>-1593.97</v>
      </c>
      <c r="P143" s="18" t="n">
        <f aca="false">IF(N143=0,"",O143/N143)</f>
        <v>0.100824193201513</v>
      </c>
      <c r="Q143" s="15"/>
      <c r="R143" s="2"/>
    </row>
    <row r="144" customFormat="false" ht="15" hidden="false" customHeight="false" outlineLevel="0" collapsed="false">
      <c r="A144" s="2"/>
      <c r="B144" s="2"/>
      <c r="C144" s="2"/>
      <c r="D144" s="2"/>
      <c r="E144" s="2"/>
      <c r="F144" s="2"/>
      <c r="G144" s="2"/>
      <c r="H144" s="2"/>
      <c r="I144" s="11"/>
      <c r="J144" s="12"/>
      <c r="K144" s="2"/>
      <c r="L144" s="11"/>
      <c r="M144" s="11"/>
      <c r="N144" s="12"/>
      <c r="O144" s="12"/>
      <c r="P144" s="14"/>
      <c r="Q144" s="2"/>
      <c r="R144" s="2"/>
    </row>
    <row r="145" customFormat="false" ht="15" hidden="false" customHeight="false" outlineLevel="0" collapsed="false">
      <c r="A145" s="6" t="s">
        <v>501</v>
      </c>
      <c r="B145" s="7"/>
      <c r="C145" s="7"/>
      <c r="D145" s="7"/>
      <c r="E145" s="7"/>
      <c r="F145" s="7"/>
      <c r="G145" s="7"/>
      <c r="H145" s="7"/>
      <c r="I145" s="8"/>
      <c r="J145" s="9"/>
      <c r="K145" s="7"/>
      <c r="L145" s="8"/>
      <c r="M145" s="8"/>
      <c r="N145" s="9"/>
      <c r="O145" s="9"/>
      <c r="P145" s="10"/>
      <c r="Q145" s="7"/>
      <c r="R145" s="2"/>
    </row>
    <row r="146" customFormat="false" ht="15" hidden="false" customHeight="false" outlineLevel="0" collapsed="false">
      <c r="A146" s="19"/>
      <c r="B146" s="19" t="s">
        <v>502</v>
      </c>
      <c r="C146" s="19"/>
      <c r="D146" s="19" t="s">
        <v>503</v>
      </c>
      <c r="E146" s="19" t="s">
        <v>504</v>
      </c>
      <c r="F146" s="19" t="s">
        <v>27</v>
      </c>
      <c r="G146" s="19" t="s">
        <v>505</v>
      </c>
      <c r="H146" s="19" t="s">
        <v>506</v>
      </c>
      <c r="I146" s="20"/>
      <c r="J146" s="21"/>
      <c r="K146" s="19" t="s">
        <v>30</v>
      </c>
      <c r="L146" s="20" t="n">
        <v>1</v>
      </c>
      <c r="M146" s="20"/>
      <c r="N146" s="21" t="n">
        <v>-10.35</v>
      </c>
      <c r="O146" s="21" t="n">
        <v>0</v>
      </c>
      <c r="P146" s="22"/>
      <c r="Q146" s="19" t="s">
        <v>507</v>
      </c>
      <c r="R146" s="2"/>
    </row>
    <row r="147" customFormat="false" ht="15" hidden="false" customHeight="false" outlineLevel="0" collapsed="false">
      <c r="A147" s="19"/>
      <c r="B147" s="19" t="s">
        <v>508</v>
      </c>
      <c r="C147" s="19"/>
      <c r="D147" s="19" t="s">
        <v>503</v>
      </c>
      <c r="E147" s="19" t="s">
        <v>504</v>
      </c>
      <c r="F147" s="19" t="s">
        <v>27</v>
      </c>
      <c r="G147" s="19" t="s">
        <v>505</v>
      </c>
      <c r="H147" s="19" t="s">
        <v>506</v>
      </c>
      <c r="I147" s="20"/>
      <c r="J147" s="21"/>
      <c r="K147" s="19" t="s">
        <v>30</v>
      </c>
      <c r="L147" s="20" t="n">
        <v>1</v>
      </c>
      <c r="M147" s="20"/>
      <c r="N147" s="21" t="n">
        <v>-22.55</v>
      </c>
      <c r="O147" s="21" t="n">
        <v>0</v>
      </c>
      <c r="P147" s="22"/>
      <c r="Q147" s="19" t="s">
        <v>507</v>
      </c>
      <c r="R147" s="2"/>
    </row>
    <row r="148" customFormat="false" ht="15" hidden="false" customHeight="false" outlineLevel="0" collapsed="false">
      <c r="A148" s="19"/>
      <c r="B148" s="19" t="s">
        <v>509</v>
      </c>
      <c r="C148" s="19" t="s">
        <v>510</v>
      </c>
      <c r="D148" s="19" t="s">
        <v>503</v>
      </c>
      <c r="E148" s="19" t="s">
        <v>511</v>
      </c>
      <c r="F148" s="19" t="s">
        <v>37</v>
      </c>
      <c r="G148" s="19" t="s">
        <v>512</v>
      </c>
      <c r="H148" s="19" t="s">
        <v>513</v>
      </c>
      <c r="I148" s="20"/>
      <c r="J148" s="21"/>
      <c r="K148" s="19" t="s">
        <v>40</v>
      </c>
      <c r="L148" s="20" t="n">
        <v>1</v>
      </c>
      <c r="M148" s="20"/>
      <c r="N148" s="21" t="n">
        <v>252.85</v>
      </c>
      <c r="O148" s="21" t="n">
        <v>0</v>
      </c>
      <c r="P148" s="22"/>
      <c r="Q148" s="19" t="s">
        <v>514</v>
      </c>
      <c r="R148" s="2"/>
    </row>
    <row r="149" customFormat="false" ht="15" hidden="false" customHeight="false" outlineLevel="0" collapsed="false">
      <c r="A149" s="19"/>
      <c r="B149" s="19" t="s">
        <v>515</v>
      </c>
      <c r="C149" s="19" t="s">
        <v>516</v>
      </c>
      <c r="D149" s="19" t="s">
        <v>503</v>
      </c>
      <c r="E149" s="19" t="s">
        <v>511</v>
      </c>
      <c r="F149" s="19" t="s">
        <v>37</v>
      </c>
      <c r="G149" s="19" t="s">
        <v>512</v>
      </c>
      <c r="H149" s="19" t="s">
        <v>513</v>
      </c>
      <c r="I149" s="20"/>
      <c r="J149" s="21"/>
      <c r="K149" s="19" t="s">
        <v>40</v>
      </c>
      <c r="L149" s="20" t="n">
        <v>1</v>
      </c>
      <c r="M149" s="20"/>
      <c r="N149" s="21" t="n">
        <v>-266.32</v>
      </c>
      <c r="O149" s="21" t="n">
        <v>0</v>
      </c>
      <c r="P149" s="22"/>
      <c r="Q149" s="19" t="s">
        <v>514</v>
      </c>
      <c r="R149" s="2"/>
    </row>
    <row r="150" customFormat="false" ht="15" hidden="false" customHeight="false" outlineLevel="0" collapsed="false">
      <c r="A150" s="2" t="s">
        <v>22</v>
      </c>
      <c r="B150" s="2" t="s">
        <v>517</v>
      </c>
      <c r="C150" s="2" t="s">
        <v>295</v>
      </c>
      <c r="D150" s="2" t="s">
        <v>503</v>
      </c>
      <c r="E150" s="2" t="s">
        <v>518</v>
      </c>
      <c r="F150" s="2" t="s">
        <v>208</v>
      </c>
      <c r="G150" s="2" t="s">
        <v>519</v>
      </c>
      <c r="H150" s="2" t="s">
        <v>520</v>
      </c>
      <c r="I150" s="11"/>
      <c r="J150" s="12"/>
      <c r="K150" s="2" t="s">
        <v>210</v>
      </c>
      <c r="L150" s="11" t="n">
        <v>1</v>
      </c>
      <c r="M150" s="11"/>
      <c r="N150" s="12" t="n">
        <v>-8.36</v>
      </c>
      <c r="O150" s="12" t="n">
        <v>-8.36</v>
      </c>
      <c r="P150" s="14"/>
      <c r="Q150" s="2" t="s">
        <v>521</v>
      </c>
      <c r="R150" s="2"/>
    </row>
    <row r="151" customFormat="false" ht="15" hidden="false" customHeight="false" outlineLevel="0" collapsed="false">
      <c r="A151" s="19"/>
      <c r="B151" s="19" t="s">
        <v>522</v>
      </c>
      <c r="C151" s="19"/>
      <c r="D151" s="19" t="s">
        <v>503</v>
      </c>
      <c r="E151" s="19" t="s">
        <v>518</v>
      </c>
      <c r="F151" s="19" t="s">
        <v>208</v>
      </c>
      <c r="G151" s="19" t="s">
        <v>519</v>
      </c>
      <c r="H151" s="19" t="s">
        <v>523</v>
      </c>
      <c r="I151" s="20"/>
      <c r="J151" s="21"/>
      <c r="K151" s="19" t="s">
        <v>210</v>
      </c>
      <c r="L151" s="20" t="n">
        <v>1</v>
      </c>
      <c r="M151" s="20"/>
      <c r="N151" s="21" t="n">
        <v>-8.36</v>
      </c>
      <c r="O151" s="21" t="n">
        <v>0</v>
      </c>
      <c r="P151" s="22"/>
      <c r="Q151" s="19" t="s">
        <v>524</v>
      </c>
      <c r="R151" s="2"/>
    </row>
    <row r="152" customFormat="false" ht="15" hidden="false" customHeight="false" outlineLevel="0" collapsed="false">
      <c r="A152" s="2" t="s">
        <v>22</v>
      </c>
      <c r="B152" s="2" t="s">
        <v>525</v>
      </c>
      <c r="C152" s="2" t="s">
        <v>295</v>
      </c>
      <c r="D152" s="2" t="s">
        <v>503</v>
      </c>
      <c r="E152" s="2" t="s">
        <v>526</v>
      </c>
      <c r="F152" s="2" t="s">
        <v>236</v>
      </c>
      <c r="G152" s="2" t="s">
        <v>527</v>
      </c>
      <c r="H152" s="2" t="s">
        <v>528</v>
      </c>
      <c r="I152" s="11"/>
      <c r="J152" s="12"/>
      <c r="K152" s="2" t="s">
        <v>238</v>
      </c>
      <c r="L152" s="11" t="n">
        <v>1</v>
      </c>
      <c r="M152" s="11"/>
      <c r="N152" s="12" t="n">
        <v>-9.02</v>
      </c>
      <c r="O152" s="12" t="n">
        <v>-9.02</v>
      </c>
      <c r="P152" s="14"/>
      <c r="Q152" s="2" t="s">
        <v>529</v>
      </c>
      <c r="R152" s="2"/>
    </row>
    <row r="153" customFormat="false" ht="15" hidden="false" customHeight="false" outlineLevel="0" collapsed="false">
      <c r="A153" s="2" t="s">
        <v>22</v>
      </c>
      <c r="B153" s="2" t="s">
        <v>433</v>
      </c>
      <c r="C153" s="2" t="s">
        <v>312</v>
      </c>
      <c r="D153" s="2" t="s">
        <v>503</v>
      </c>
      <c r="E153" s="2" t="s">
        <v>530</v>
      </c>
      <c r="F153" s="2" t="s">
        <v>236</v>
      </c>
      <c r="G153" s="2" t="s">
        <v>531</v>
      </c>
      <c r="H153" s="2" t="s">
        <v>532</v>
      </c>
      <c r="I153" s="11"/>
      <c r="J153" s="12"/>
      <c r="K153" s="2" t="s">
        <v>238</v>
      </c>
      <c r="L153" s="11" t="n">
        <v>1</v>
      </c>
      <c r="M153" s="11"/>
      <c r="N153" s="12" t="n">
        <v>-1</v>
      </c>
      <c r="O153" s="12" t="n">
        <v>-1</v>
      </c>
      <c r="P153" s="14"/>
      <c r="Q153" s="2" t="s">
        <v>529</v>
      </c>
      <c r="R153" s="2"/>
    </row>
    <row r="154" customFormat="false" ht="15" hidden="false" customHeight="false" outlineLevel="0" collapsed="false">
      <c r="A154" s="2" t="s">
        <v>22</v>
      </c>
      <c r="B154" s="2" t="s">
        <v>533</v>
      </c>
      <c r="C154" s="2" t="s">
        <v>534</v>
      </c>
      <c r="D154" s="2" t="s">
        <v>503</v>
      </c>
      <c r="E154" s="2" t="s">
        <v>530</v>
      </c>
      <c r="F154" s="2" t="s">
        <v>236</v>
      </c>
      <c r="G154" s="2" t="s">
        <v>535</v>
      </c>
      <c r="H154" s="2" t="s">
        <v>536</v>
      </c>
      <c r="I154" s="11"/>
      <c r="J154" s="12"/>
      <c r="K154" s="2" t="s">
        <v>238</v>
      </c>
      <c r="L154" s="11" t="n">
        <v>1</v>
      </c>
      <c r="M154" s="11"/>
      <c r="N154" s="12" t="n">
        <v>-1</v>
      </c>
      <c r="O154" s="12" t="n">
        <v>-1</v>
      </c>
      <c r="P154" s="14"/>
      <c r="Q154" s="2" t="s">
        <v>529</v>
      </c>
      <c r="R154" s="2"/>
    </row>
    <row r="155" customFormat="false" ht="15" hidden="false" customHeight="false" outlineLevel="0" collapsed="false">
      <c r="A155" s="2" t="s">
        <v>22</v>
      </c>
      <c r="B155" s="2" t="s">
        <v>537</v>
      </c>
      <c r="C155" s="2" t="s">
        <v>312</v>
      </c>
      <c r="D155" s="2" t="s">
        <v>503</v>
      </c>
      <c r="E155" s="2" t="s">
        <v>530</v>
      </c>
      <c r="F155" s="2" t="s">
        <v>236</v>
      </c>
      <c r="G155" s="2" t="s">
        <v>538</v>
      </c>
      <c r="H155" s="2" t="s">
        <v>539</v>
      </c>
      <c r="I155" s="11"/>
      <c r="J155" s="12"/>
      <c r="K155" s="2" t="s">
        <v>238</v>
      </c>
      <c r="L155" s="11" t="n">
        <v>1</v>
      </c>
      <c r="M155" s="11"/>
      <c r="N155" s="12" t="n">
        <v>-1</v>
      </c>
      <c r="O155" s="12" t="n">
        <v>-1</v>
      </c>
      <c r="P155" s="14"/>
      <c r="Q155" s="2" t="s">
        <v>529</v>
      </c>
      <c r="R155" s="2"/>
    </row>
    <row r="156" customFormat="false" ht="15" hidden="false" customHeight="false" outlineLevel="0" collapsed="false">
      <c r="A156" s="2" t="s">
        <v>22</v>
      </c>
      <c r="B156" s="2" t="s">
        <v>525</v>
      </c>
      <c r="C156" s="2" t="s">
        <v>295</v>
      </c>
      <c r="D156" s="2" t="s">
        <v>503</v>
      </c>
      <c r="E156" s="2" t="s">
        <v>530</v>
      </c>
      <c r="F156" s="2" t="s">
        <v>236</v>
      </c>
      <c r="G156" s="2" t="s">
        <v>527</v>
      </c>
      <c r="H156" s="2" t="s">
        <v>528</v>
      </c>
      <c r="I156" s="11"/>
      <c r="J156" s="12"/>
      <c r="K156" s="2" t="s">
        <v>238</v>
      </c>
      <c r="L156" s="11" t="n">
        <v>1</v>
      </c>
      <c r="M156" s="11"/>
      <c r="N156" s="12" t="n">
        <v>-1</v>
      </c>
      <c r="O156" s="12" t="n">
        <v>-1</v>
      </c>
      <c r="P156" s="14"/>
      <c r="Q156" s="2" t="s">
        <v>529</v>
      </c>
      <c r="R156" s="2"/>
    </row>
    <row r="157" customFormat="false" ht="15" hidden="false" customHeight="false" outlineLevel="0" collapsed="false">
      <c r="A157" s="2" t="s">
        <v>22</v>
      </c>
      <c r="B157" s="2" t="s">
        <v>540</v>
      </c>
      <c r="C157" s="2" t="s">
        <v>312</v>
      </c>
      <c r="D157" s="2" t="s">
        <v>503</v>
      </c>
      <c r="E157" s="2" t="s">
        <v>530</v>
      </c>
      <c r="F157" s="2" t="s">
        <v>236</v>
      </c>
      <c r="G157" s="2" t="s">
        <v>541</v>
      </c>
      <c r="H157" s="2" t="s">
        <v>542</v>
      </c>
      <c r="I157" s="11"/>
      <c r="J157" s="12"/>
      <c r="K157" s="2" t="s">
        <v>238</v>
      </c>
      <c r="L157" s="11" t="n">
        <v>1</v>
      </c>
      <c r="M157" s="11"/>
      <c r="N157" s="12" t="n">
        <v>-1</v>
      </c>
      <c r="O157" s="12" t="n">
        <v>-1</v>
      </c>
      <c r="P157" s="14"/>
      <c r="Q157" s="2" t="s">
        <v>529</v>
      </c>
      <c r="R157" s="2"/>
    </row>
    <row r="158" customFormat="false" ht="15" hidden="false" customHeight="false" outlineLevel="0" collapsed="false">
      <c r="A158" s="2" t="s">
        <v>22</v>
      </c>
      <c r="B158" s="2" t="s">
        <v>543</v>
      </c>
      <c r="C158" s="2" t="s">
        <v>312</v>
      </c>
      <c r="D158" s="2" t="s">
        <v>503</v>
      </c>
      <c r="E158" s="2" t="s">
        <v>530</v>
      </c>
      <c r="F158" s="2" t="s">
        <v>236</v>
      </c>
      <c r="G158" s="2" t="s">
        <v>544</v>
      </c>
      <c r="H158" s="2" t="s">
        <v>536</v>
      </c>
      <c r="I158" s="11"/>
      <c r="J158" s="12"/>
      <c r="K158" s="2" t="s">
        <v>238</v>
      </c>
      <c r="L158" s="11" t="n">
        <v>1</v>
      </c>
      <c r="M158" s="11"/>
      <c r="N158" s="12" t="n">
        <v>-1</v>
      </c>
      <c r="O158" s="12" t="n">
        <v>-1</v>
      </c>
      <c r="P158" s="14"/>
      <c r="Q158" s="2" t="s">
        <v>529</v>
      </c>
      <c r="R158" s="2"/>
    </row>
    <row r="159" customFormat="false" ht="15" hidden="false" customHeight="false" outlineLevel="0" collapsed="false">
      <c r="A159" s="2" t="s">
        <v>22</v>
      </c>
      <c r="B159" s="2" t="s">
        <v>545</v>
      </c>
      <c r="C159" s="2" t="s">
        <v>452</v>
      </c>
      <c r="D159" s="2" t="s">
        <v>503</v>
      </c>
      <c r="E159" s="2" t="s">
        <v>530</v>
      </c>
      <c r="F159" s="2" t="s">
        <v>236</v>
      </c>
      <c r="G159" s="2" t="s">
        <v>546</v>
      </c>
      <c r="H159" s="2" t="s">
        <v>547</v>
      </c>
      <c r="I159" s="11"/>
      <c r="J159" s="12"/>
      <c r="K159" s="2" t="s">
        <v>238</v>
      </c>
      <c r="L159" s="11" t="n">
        <v>1</v>
      </c>
      <c r="M159" s="11"/>
      <c r="N159" s="12" t="n">
        <v>-1</v>
      </c>
      <c r="O159" s="12" t="n">
        <v>-1</v>
      </c>
      <c r="P159" s="14"/>
      <c r="Q159" s="2" t="s">
        <v>529</v>
      </c>
      <c r="R159" s="2"/>
    </row>
    <row r="160" customFormat="false" ht="15" hidden="false" customHeight="false" outlineLevel="0" collapsed="false">
      <c r="A160" s="2" t="s">
        <v>22</v>
      </c>
      <c r="B160" s="2" t="s">
        <v>525</v>
      </c>
      <c r="C160" s="2" t="s">
        <v>295</v>
      </c>
      <c r="D160" s="2" t="s">
        <v>503</v>
      </c>
      <c r="E160" s="2" t="s">
        <v>526</v>
      </c>
      <c r="F160" s="2" t="s">
        <v>236</v>
      </c>
      <c r="G160" s="2" t="s">
        <v>527</v>
      </c>
      <c r="H160" s="2" t="s">
        <v>528</v>
      </c>
      <c r="I160" s="11"/>
      <c r="J160" s="12"/>
      <c r="K160" s="2" t="s">
        <v>238</v>
      </c>
      <c r="L160" s="11" t="n">
        <v>1</v>
      </c>
      <c r="M160" s="11"/>
      <c r="N160" s="12" t="n">
        <v>-9.02</v>
      </c>
      <c r="O160" s="12" t="n">
        <v>-9.02</v>
      </c>
      <c r="P160" s="14"/>
      <c r="Q160" s="2" t="s">
        <v>529</v>
      </c>
      <c r="R160" s="2"/>
    </row>
    <row r="161" customFormat="false" ht="15" hidden="false" customHeight="false" outlineLevel="0" collapsed="false">
      <c r="A161" s="2" t="s">
        <v>22</v>
      </c>
      <c r="B161" s="2" t="s">
        <v>400</v>
      </c>
      <c r="C161" s="2" t="s">
        <v>312</v>
      </c>
      <c r="D161" s="2" t="s">
        <v>503</v>
      </c>
      <c r="E161" s="2" t="s">
        <v>530</v>
      </c>
      <c r="F161" s="2" t="s">
        <v>236</v>
      </c>
      <c r="G161" s="2" t="s">
        <v>548</v>
      </c>
      <c r="H161" s="2" t="s">
        <v>542</v>
      </c>
      <c r="I161" s="11"/>
      <c r="J161" s="12"/>
      <c r="K161" s="2" t="s">
        <v>238</v>
      </c>
      <c r="L161" s="11" t="n">
        <v>1</v>
      </c>
      <c r="M161" s="11"/>
      <c r="N161" s="12" t="n">
        <v>-1</v>
      </c>
      <c r="O161" s="12" t="n">
        <v>-1</v>
      </c>
      <c r="P161" s="14"/>
      <c r="Q161" s="2" t="s">
        <v>529</v>
      </c>
      <c r="R161" s="2"/>
    </row>
    <row r="162" customFormat="false" ht="15" hidden="false" customHeight="false" outlineLevel="0" collapsed="false">
      <c r="A162" s="2" t="s">
        <v>22</v>
      </c>
      <c r="B162" s="2" t="s">
        <v>543</v>
      </c>
      <c r="C162" s="2" t="s">
        <v>312</v>
      </c>
      <c r="D162" s="2" t="s">
        <v>503</v>
      </c>
      <c r="E162" s="2" t="s">
        <v>526</v>
      </c>
      <c r="F162" s="2" t="s">
        <v>236</v>
      </c>
      <c r="G162" s="2" t="s">
        <v>544</v>
      </c>
      <c r="H162" s="2" t="s">
        <v>536</v>
      </c>
      <c r="I162" s="11"/>
      <c r="J162" s="12"/>
      <c r="K162" s="2" t="s">
        <v>238</v>
      </c>
      <c r="L162" s="11" t="n">
        <v>1</v>
      </c>
      <c r="M162" s="11"/>
      <c r="N162" s="12" t="n">
        <v>-9.02</v>
      </c>
      <c r="O162" s="12" t="n">
        <v>-9.02</v>
      </c>
      <c r="P162" s="14"/>
      <c r="Q162" s="2" t="s">
        <v>529</v>
      </c>
      <c r="R162" s="2"/>
    </row>
    <row r="163" customFormat="false" ht="15" hidden="false" customHeight="false" outlineLevel="0" collapsed="false">
      <c r="A163" s="19"/>
      <c r="B163" s="19" t="s">
        <v>549</v>
      </c>
      <c r="C163" s="19"/>
      <c r="D163" s="19" t="s">
        <v>503</v>
      </c>
      <c r="E163" s="19" t="s">
        <v>530</v>
      </c>
      <c r="F163" s="19" t="s">
        <v>236</v>
      </c>
      <c r="G163" s="19" t="s">
        <v>550</v>
      </c>
      <c r="H163" s="19" t="s">
        <v>539</v>
      </c>
      <c r="I163" s="20"/>
      <c r="J163" s="21"/>
      <c r="K163" s="19" t="s">
        <v>238</v>
      </c>
      <c r="L163" s="20" t="n">
        <v>1</v>
      </c>
      <c r="M163" s="20"/>
      <c r="N163" s="21" t="n">
        <v>-1</v>
      </c>
      <c r="O163" s="21" t="n">
        <v>0</v>
      </c>
      <c r="P163" s="22"/>
      <c r="Q163" s="19" t="s">
        <v>551</v>
      </c>
      <c r="R163" s="2"/>
    </row>
    <row r="164" customFormat="false" ht="15" hidden="false" customHeight="false" outlineLevel="0" collapsed="false">
      <c r="A164" s="19"/>
      <c r="B164" s="19" t="s">
        <v>552</v>
      </c>
      <c r="C164" s="19"/>
      <c r="D164" s="19" t="s">
        <v>503</v>
      </c>
      <c r="E164" s="19" t="s">
        <v>530</v>
      </c>
      <c r="F164" s="19" t="s">
        <v>236</v>
      </c>
      <c r="G164" s="19" t="s">
        <v>553</v>
      </c>
      <c r="H164" s="19" t="s">
        <v>554</v>
      </c>
      <c r="I164" s="20"/>
      <c r="J164" s="21"/>
      <c r="K164" s="19" t="s">
        <v>238</v>
      </c>
      <c r="L164" s="20" t="n">
        <v>1</v>
      </c>
      <c r="M164" s="20"/>
      <c r="N164" s="21" t="n">
        <v>-1</v>
      </c>
      <c r="O164" s="21" t="n">
        <v>0</v>
      </c>
      <c r="P164" s="22"/>
      <c r="Q164" s="19" t="s">
        <v>551</v>
      </c>
      <c r="R164" s="2"/>
    </row>
    <row r="165" customFormat="false" ht="15" hidden="false" customHeight="false" outlineLevel="0" collapsed="false">
      <c r="A165" s="19"/>
      <c r="B165" s="19" t="s">
        <v>555</v>
      </c>
      <c r="C165" s="19"/>
      <c r="D165" s="19" t="s">
        <v>503</v>
      </c>
      <c r="E165" s="19" t="s">
        <v>530</v>
      </c>
      <c r="F165" s="19" t="s">
        <v>236</v>
      </c>
      <c r="G165" s="19" t="s">
        <v>556</v>
      </c>
      <c r="H165" s="19" t="s">
        <v>557</v>
      </c>
      <c r="I165" s="20"/>
      <c r="J165" s="21"/>
      <c r="K165" s="19" t="s">
        <v>238</v>
      </c>
      <c r="L165" s="20" t="n">
        <v>1</v>
      </c>
      <c r="M165" s="20"/>
      <c r="N165" s="21" t="n">
        <v>-1</v>
      </c>
      <c r="O165" s="21" t="n">
        <v>0</v>
      </c>
      <c r="P165" s="22"/>
      <c r="Q165" s="19" t="s">
        <v>551</v>
      </c>
      <c r="R165" s="2"/>
    </row>
    <row r="166" customFormat="false" ht="15" hidden="false" customHeight="false" outlineLevel="0" collapsed="false">
      <c r="A166" s="19"/>
      <c r="B166" s="19" t="s">
        <v>558</v>
      </c>
      <c r="C166" s="19"/>
      <c r="D166" s="19" t="s">
        <v>503</v>
      </c>
      <c r="E166" s="19" t="s">
        <v>526</v>
      </c>
      <c r="F166" s="19" t="s">
        <v>236</v>
      </c>
      <c r="G166" s="19" t="s">
        <v>559</v>
      </c>
      <c r="H166" s="19" t="s">
        <v>557</v>
      </c>
      <c r="I166" s="20"/>
      <c r="J166" s="21"/>
      <c r="K166" s="19" t="s">
        <v>238</v>
      </c>
      <c r="L166" s="20" t="n">
        <v>1</v>
      </c>
      <c r="M166" s="20"/>
      <c r="N166" s="21" t="n">
        <v>-9.02</v>
      </c>
      <c r="O166" s="21" t="n">
        <v>0</v>
      </c>
      <c r="P166" s="22"/>
      <c r="Q166" s="19" t="s">
        <v>551</v>
      </c>
      <c r="R166" s="2"/>
    </row>
    <row r="167" customFormat="false" ht="15" hidden="false" customHeight="false" outlineLevel="0" collapsed="false">
      <c r="A167" s="19"/>
      <c r="B167" s="19" t="s">
        <v>560</v>
      </c>
      <c r="C167" s="19"/>
      <c r="D167" s="19" t="s">
        <v>503</v>
      </c>
      <c r="E167" s="19" t="s">
        <v>530</v>
      </c>
      <c r="F167" s="19" t="s">
        <v>236</v>
      </c>
      <c r="G167" s="19" t="s">
        <v>561</v>
      </c>
      <c r="H167" s="19" t="s">
        <v>562</v>
      </c>
      <c r="I167" s="20"/>
      <c r="J167" s="21"/>
      <c r="K167" s="19" t="s">
        <v>238</v>
      </c>
      <c r="L167" s="20" t="n">
        <v>1</v>
      </c>
      <c r="M167" s="20"/>
      <c r="N167" s="21" t="n">
        <v>-1</v>
      </c>
      <c r="O167" s="21" t="n">
        <v>0</v>
      </c>
      <c r="P167" s="22"/>
      <c r="Q167" s="19" t="s">
        <v>551</v>
      </c>
      <c r="R167" s="2"/>
    </row>
    <row r="168" customFormat="false" ht="15" hidden="false" customHeight="false" outlineLevel="0" collapsed="false">
      <c r="A168" s="19"/>
      <c r="B168" s="19" t="s">
        <v>563</v>
      </c>
      <c r="C168" s="19"/>
      <c r="D168" s="19" t="s">
        <v>503</v>
      </c>
      <c r="E168" s="19" t="s">
        <v>530</v>
      </c>
      <c r="F168" s="19" t="s">
        <v>236</v>
      </c>
      <c r="G168" s="19" t="s">
        <v>564</v>
      </c>
      <c r="H168" s="19" t="s">
        <v>528</v>
      </c>
      <c r="I168" s="20"/>
      <c r="J168" s="21"/>
      <c r="K168" s="19" t="s">
        <v>238</v>
      </c>
      <c r="L168" s="20" t="n">
        <v>1</v>
      </c>
      <c r="M168" s="20"/>
      <c r="N168" s="21" t="n">
        <v>-1</v>
      </c>
      <c r="O168" s="21" t="n">
        <v>0</v>
      </c>
      <c r="P168" s="22"/>
      <c r="Q168" s="19" t="s">
        <v>551</v>
      </c>
      <c r="R168" s="2"/>
    </row>
    <row r="169" customFormat="false" ht="15" hidden="false" customHeight="false" outlineLevel="0" collapsed="false">
      <c r="A169" s="19"/>
      <c r="B169" s="19" t="s">
        <v>565</v>
      </c>
      <c r="C169" s="19"/>
      <c r="D169" s="19" t="s">
        <v>503</v>
      </c>
      <c r="E169" s="19" t="s">
        <v>530</v>
      </c>
      <c r="F169" s="19" t="s">
        <v>236</v>
      </c>
      <c r="G169" s="19" t="s">
        <v>566</v>
      </c>
      <c r="H169" s="19" t="s">
        <v>532</v>
      </c>
      <c r="I169" s="20"/>
      <c r="J169" s="21"/>
      <c r="K169" s="19" t="s">
        <v>238</v>
      </c>
      <c r="L169" s="20" t="n">
        <v>1</v>
      </c>
      <c r="M169" s="20"/>
      <c r="N169" s="21" t="n">
        <v>-1</v>
      </c>
      <c r="O169" s="21" t="n">
        <v>0</v>
      </c>
      <c r="P169" s="22"/>
      <c r="Q169" s="19" t="s">
        <v>551</v>
      </c>
      <c r="R169" s="2"/>
    </row>
    <row r="170" customFormat="false" ht="15" hidden="false" customHeight="false" outlineLevel="0" collapsed="false">
      <c r="A170" s="19"/>
      <c r="B170" s="19" t="s">
        <v>567</v>
      </c>
      <c r="C170" s="19"/>
      <c r="D170" s="19" t="s">
        <v>503</v>
      </c>
      <c r="E170" s="19" t="s">
        <v>526</v>
      </c>
      <c r="F170" s="19" t="s">
        <v>236</v>
      </c>
      <c r="G170" s="19" t="s">
        <v>559</v>
      </c>
      <c r="H170" s="19" t="s">
        <v>557</v>
      </c>
      <c r="I170" s="20"/>
      <c r="J170" s="21"/>
      <c r="K170" s="19" t="s">
        <v>238</v>
      </c>
      <c r="L170" s="20" t="n">
        <v>1</v>
      </c>
      <c r="M170" s="20"/>
      <c r="N170" s="21" t="n">
        <v>-9.02</v>
      </c>
      <c r="O170" s="21" t="n">
        <v>0</v>
      </c>
      <c r="P170" s="22"/>
      <c r="Q170" s="19" t="s">
        <v>551</v>
      </c>
      <c r="R170" s="2"/>
    </row>
    <row r="171" customFormat="false" ht="15" hidden="false" customHeight="false" outlineLevel="0" collapsed="false">
      <c r="A171" s="19"/>
      <c r="B171" s="19" t="s">
        <v>568</v>
      </c>
      <c r="C171" s="19"/>
      <c r="D171" s="19" t="s">
        <v>503</v>
      </c>
      <c r="E171" s="19" t="s">
        <v>530</v>
      </c>
      <c r="F171" s="19" t="s">
        <v>236</v>
      </c>
      <c r="G171" s="19" t="s">
        <v>569</v>
      </c>
      <c r="H171" s="19" t="s">
        <v>570</v>
      </c>
      <c r="I171" s="20"/>
      <c r="J171" s="21"/>
      <c r="K171" s="19" t="s">
        <v>238</v>
      </c>
      <c r="L171" s="20" t="n">
        <v>1</v>
      </c>
      <c r="M171" s="20"/>
      <c r="N171" s="21" t="n">
        <v>-1</v>
      </c>
      <c r="O171" s="21" t="n">
        <v>0</v>
      </c>
      <c r="P171" s="22"/>
      <c r="Q171" s="19" t="s">
        <v>551</v>
      </c>
      <c r="R171" s="2"/>
    </row>
    <row r="172" customFormat="false" ht="15" hidden="false" customHeight="false" outlineLevel="0" collapsed="false">
      <c r="A172" s="19"/>
      <c r="B172" s="19" t="s">
        <v>571</v>
      </c>
      <c r="C172" s="19"/>
      <c r="D172" s="19" t="s">
        <v>503</v>
      </c>
      <c r="E172" s="19" t="s">
        <v>530</v>
      </c>
      <c r="F172" s="19" t="s">
        <v>236</v>
      </c>
      <c r="G172" s="19" t="s">
        <v>559</v>
      </c>
      <c r="H172" s="19" t="s">
        <v>557</v>
      </c>
      <c r="I172" s="20"/>
      <c r="J172" s="21"/>
      <c r="K172" s="19" t="s">
        <v>238</v>
      </c>
      <c r="L172" s="20" t="n">
        <v>1</v>
      </c>
      <c r="M172" s="20"/>
      <c r="N172" s="21" t="n">
        <v>-1</v>
      </c>
      <c r="O172" s="21" t="n">
        <v>0</v>
      </c>
      <c r="P172" s="22"/>
      <c r="Q172" s="19" t="s">
        <v>551</v>
      </c>
      <c r="R172" s="2"/>
    </row>
    <row r="173" customFormat="false" ht="15" hidden="false" customHeight="false" outlineLevel="0" collapsed="false">
      <c r="A173" s="19"/>
      <c r="B173" s="19" t="s">
        <v>572</v>
      </c>
      <c r="C173" s="19"/>
      <c r="D173" s="19" t="s">
        <v>503</v>
      </c>
      <c r="E173" s="19" t="s">
        <v>530</v>
      </c>
      <c r="F173" s="19" t="s">
        <v>236</v>
      </c>
      <c r="G173" s="19" t="s">
        <v>573</v>
      </c>
      <c r="H173" s="19" t="s">
        <v>574</v>
      </c>
      <c r="I173" s="20"/>
      <c r="J173" s="21"/>
      <c r="K173" s="19" t="s">
        <v>238</v>
      </c>
      <c r="L173" s="20" t="n">
        <v>1</v>
      </c>
      <c r="M173" s="20"/>
      <c r="N173" s="21" t="n">
        <v>-1</v>
      </c>
      <c r="O173" s="21" t="n">
        <v>0</v>
      </c>
      <c r="P173" s="22"/>
      <c r="Q173" s="19" t="s">
        <v>551</v>
      </c>
      <c r="R173" s="2"/>
    </row>
    <row r="174" customFormat="false" ht="15" hidden="false" customHeight="false" outlineLevel="0" collapsed="false">
      <c r="A174" s="15"/>
      <c r="B174" s="15" t="s">
        <v>575</v>
      </c>
      <c r="C174" s="15"/>
      <c r="D174" s="15"/>
      <c r="E174" s="15"/>
      <c r="F174" s="15"/>
      <c r="G174" s="15"/>
      <c r="H174" s="15"/>
      <c r="I174" s="16"/>
      <c r="J174" s="17"/>
      <c r="K174" s="15"/>
      <c r="L174" s="16"/>
      <c r="M174" s="16"/>
      <c r="N174" s="17" t="n">
        <f aca="false">SUM(N146:N173)</f>
        <v>-125.19</v>
      </c>
      <c r="O174" s="17" t="n">
        <f aca="false">SUM(O146:O173)</f>
        <v>-43.42</v>
      </c>
      <c r="P174" s="18"/>
      <c r="Q174" s="15" t="s">
        <v>576</v>
      </c>
      <c r="R174" s="2"/>
    </row>
    <row r="175" customFormat="false" ht="15" hidden="false" customHeight="false" outlineLevel="0" collapsed="false">
      <c r="A175" s="2"/>
      <c r="B175" s="2"/>
      <c r="C175" s="2"/>
      <c r="D175" s="2"/>
      <c r="E175" s="2"/>
      <c r="F175" s="2"/>
      <c r="G175" s="2"/>
      <c r="H175" s="2"/>
      <c r="I175" s="11"/>
      <c r="J175" s="12"/>
      <c r="K175" s="2"/>
      <c r="L175" s="11"/>
      <c r="M175" s="11"/>
      <c r="N175" s="12"/>
      <c r="O175" s="12"/>
      <c r="P175" s="14"/>
      <c r="Q175" s="2"/>
      <c r="R175" s="2"/>
    </row>
    <row r="176" customFormat="false" ht="15" hidden="false" customHeight="false" outlineLevel="0" collapsed="false">
      <c r="A176" s="23"/>
      <c r="B176" s="23" t="s">
        <v>577</v>
      </c>
      <c r="C176" s="23"/>
      <c r="D176" s="23"/>
      <c r="E176" s="23"/>
      <c r="F176" s="23"/>
      <c r="G176" s="23"/>
      <c r="H176" s="23"/>
      <c r="I176" s="24"/>
      <c r="J176" s="25" t="n">
        <f aca="false">J75</f>
        <v>78381.95</v>
      </c>
      <c r="K176" s="23"/>
      <c r="L176" s="24"/>
      <c r="M176" s="24"/>
      <c r="N176" s="25" t="n">
        <f aca="false">N75+N143</f>
        <v>46423.63</v>
      </c>
      <c r="O176" s="25" t="n">
        <f aca="false">O75+O143+O174</f>
        <v>4724.29</v>
      </c>
      <c r="P176" s="26" t="n">
        <f aca="false">IF(N176=0,"",O176/N176)</f>
        <v>0.101764769364223</v>
      </c>
      <c r="Q176" s="23" t="s">
        <v>578</v>
      </c>
      <c r="R176" s="2"/>
    </row>
  </sheetData>
  <autoFilter ref="A5:Q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7"/>
    <col collapsed="false" customWidth="true" hidden="false" outlineLevel="0" max="3" min="3" style="0" width="40"/>
    <col collapsed="false" customWidth="true" hidden="false" outlineLevel="0" max="4" min="4" style="0" width="20"/>
    <col collapsed="false" customWidth="true" hidden="false" outlineLevel="0" max="5" min="5" style="0" width="32"/>
    <col collapsed="false" customWidth="true" hidden="false" outlineLevel="0" max="6" min="6" style="0" width="22"/>
    <col collapsed="false" customWidth="true" hidden="false" outlineLevel="0" max="7" min="7" style="0" width="14"/>
    <col collapsed="false" customWidth="true" hidden="false" outlineLevel="0" max="9" min="8" style="0" width="17"/>
    <col collapsed="false" customWidth="true" hidden="false" outlineLevel="0" max="10" min="10" style="0" width="12"/>
    <col collapsed="false" customWidth="true" hidden="false" outlineLevel="0" max="11" min="11" style="0" width="17"/>
    <col collapsed="false" customWidth="true" hidden="false" outlineLevel="0" max="12" min="12" style="0" width="15"/>
    <col collapsed="false" customWidth="true" hidden="false" outlineLevel="0" max="13" min="13" style="0" width="9"/>
    <col collapsed="false" customWidth="true" hidden="false" outlineLevel="0" max="14" min="14" style="0" width="15"/>
    <col collapsed="false" customWidth="true" hidden="false" outlineLevel="0" max="15" min="15" style="0" width="16"/>
    <col collapsed="false" customWidth="true" hidden="false" outlineLevel="0" max="16" min="16" style="0" width="12"/>
    <col collapsed="false" customWidth="true" hidden="false" outlineLevel="0" max="17" min="17" style="0" width="30"/>
  </cols>
  <sheetData>
    <row r="1" customFormat="false" ht="42" hidden="false" customHeight="true" outlineLevel="0" collapsed="false">
      <c r="A1" s="5" t="s">
        <v>579</v>
      </c>
      <c r="B1" s="5" t="s">
        <v>8</v>
      </c>
      <c r="C1" s="5" t="s">
        <v>580</v>
      </c>
      <c r="D1" s="5" t="s">
        <v>581</v>
      </c>
      <c r="E1" s="5" t="s">
        <v>582</v>
      </c>
      <c r="F1" s="5" t="s">
        <v>583</v>
      </c>
      <c r="G1" s="5" t="s">
        <v>584</v>
      </c>
      <c r="H1" s="5" t="s">
        <v>585</v>
      </c>
      <c r="I1" s="5" t="s">
        <v>586</v>
      </c>
      <c r="J1" s="5" t="s">
        <v>15</v>
      </c>
      <c r="K1" s="5" t="s">
        <v>587</v>
      </c>
      <c r="L1" s="5" t="s">
        <v>588</v>
      </c>
      <c r="M1" s="5" t="s">
        <v>589</v>
      </c>
      <c r="N1" s="5" t="s">
        <v>590</v>
      </c>
      <c r="O1" s="5" t="s">
        <v>591</v>
      </c>
      <c r="P1" s="5" t="s">
        <v>592</v>
      </c>
      <c r="Q1" s="5" t="s">
        <v>593</v>
      </c>
    </row>
    <row r="2" customFormat="false" ht="15" hidden="false" customHeight="false" outlineLevel="0" collapsed="false">
      <c r="A2" s="27" t="s">
        <v>138</v>
      </c>
      <c r="B2" s="27" t="s">
        <v>44</v>
      </c>
      <c r="C2" s="27" t="s">
        <v>47</v>
      </c>
      <c r="D2" s="27" t="s">
        <v>135</v>
      </c>
      <c r="E2" s="27" t="s">
        <v>594</v>
      </c>
      <c r="F2" s="27" t="s">
        <v>110</v>
      </c>
      <c r="G2" s="27" t="s">
        <v>595</v>
      </c>
      <c r="H2" s="28" t="n">
        <v>1956</v>
      </c>
      <c r="I2" s="28" t="n">
        <v>1956</v>
      </c>
      <c r="J2" s="29" t="n">
        <v>0.1</v>
      </c>
      <c r="K2" s="28" t="n">
        <v>195.6</v>
      </c>
      <c r="L2" s="30" t="n">
        <f aca="false">ROUND(I2*J2,2)</f>
        <v>195.6</v>
      </c>
      <c r="M2" s="30" t="n">
        <f aca="false">K2-L2</f>
        <v>0</v>
      </c>
      <c r="N2" s="30" t="n">
        <f aca="false">IF(F2="Promotional Incentive",0,I2)</f>
        <v>1956</v>
      </c>
      <c r="O2" s="30" t="n">
        <f aca="false">IF(F2="Promotional Incentive",0,K2)</f>
        <v>195.6</v>
      </c>
      <c r="P2" s="31" t="s">
        <v>596</v>
      </c>
      <c r="Q2" s="27" t="s">
        <v>134</v>
      </c>
    </row>
    <row r="3" customFormat="false" ht="15" hidden="false" customHeight="false" outlineLevel="0" collapsed="false">
      <c r="A3" s="27" t="s">
        <v>138</v>
      </c>
      <c r="B3" s="27" t="s">
        <v>44</v>
      </c>
      <c r="C3" s="27" t="s">
        <v>47</v>
      </c>
      <c r="D3" s="27" t="s">
        <v>135</v>
      </c>
      <c r="E3" s="27" t="s">
        <v>594</v>
      </c>
      <c r="F3" s="27" t="s">
        <v>597</v>
      </c>
      <c r="G3" s="27" t="s">
        <v>598</v>
      </c>
      <c r="H3" s="28" t="n">
        <v>-600.23</v>
      </c>
      <c r="I3" s="28" t="n">
        <v>-600.23</v>
      </c>
      <c r="J3" s="29" t="n">
        <v>0.1</v>
      </c>
      <c r="K3" s="28" t="n">
        <v>-60.02</v>
      </c>
      <c r="L3" s="30" t="n">
        <f aca="false">ROUND(I3*J3,2)</f>
        <v>-60.02</v>
      </c>
      <c r="M3" s="30" t="n">
        <f aca="false">K3-L3</f>
        <v>0</v>
      </c>
      <c r="N3" s="30" t="n">
        <f aca="false">IF(F3="Promotional Incentive",0,I3)</f>
        <v>-600.23</v>
      </c>
      <c r="O3" s="30" t="n">
        <f aca="false">IF(F3="Promotional Incentive",0,K3)</f>
        <v>-60.02</v>
      </c>
      <c r="P3" s="31" t="s">
        <v>596</v>
      </c>
      <c r="Q3" s="27" t="s">
        <v>134</v>
      </c>
    </row>
    <row r="4" customFormat="false" ht="15" hidden="false" customHeight="false" outlineLevel="0" collapsed="false">
      <c r="A4" s="27" t="s">
        <v>141</v>
      </c>
      <c r="B4" s="27" t="s">
        <v>44</v>
      </c>
      <c r="C4" s="27" t="s">
        <v>47</v>
      </c>
      <c r="D4" s="27" t="s">
        <v>140</v>
      </c>
      <c r="E4" s="27" t="s">
        <v>599</v>
      </c>
      <c r="F4" s="27" t="s">
        <v>110</v>
      </c>
      <c r="G4" s="27" t="s">
        <v>600</v>
      </c>
      <c r="H4" s="28" t="n">
        <v>2305</v>
      </c>
      <c r="I4" s="28" t="n">
        <v>2305</v>
      </c>
      <c r="J4" s="29" t="n">
        <v>0.1</v>
      </c>
      <c r="K4" s="28" t="n">
        <v>230.5</v>
      </c>
      <c r="L4" s="30" t="n">
        <f aca="false">ROUND(I4*J4,2)</f>
        <v>230.5</v>
      </c>
      <c r="M4" s="30" t="n">
        <f aca="false">K4-L4</f>
        <v>0</v>
      </c>
      <c r="N4" s="30" t="n">
        <f aca="false">IF(F4="Promotional Incentive",0,I4)</f>
        <v>2305</v>
      </c>
      <c r="O4" s="30" t="n">
        <f aca="false">IF(F4="Promotional Incentive",0,K4)</f>
        <v>230.5</v>
      </c>
      <c r="P4" s="31" t="s">
        <v>596</v>
      </c>
      <c r="Q4" s="27" t="s">
        <v>139</v>
      </c>
    </row>
    <row r="5" customFormat="false" ht="15" hidden="false" customHeight="false" outlineLevel="0" collapsed="false">
      <c r="A5" s="27" t="s">
        <v>130</v>
      </c>
      <c r="B5" s="27" t="s">
        <v>44</v>
      </c>
      <c r="C5" s="27" t="s">
        <v>47</v>
      </c>
      <c r="D5" s="27" t="s">
        <v>129</v>
      </c>
      <c r="E5" s="27" t="s">
        <v>601</v>
      </c>
      <c r="F5" s="27" t="s">
        <v>110</v>
      </c>
      <c r="G5" s="27" t="s">
        <v>602</v>
      </c>
      <c r="H5" s="28" t="n">
        <v>2276</v>
      </c>
      <c r="I5" s="28" t="n">
        <v>2276</v>
      </c>
      <c r="J5" s="29" t="n">
        <v>0.1</v>
      </c>
      <c r="K5" s="28" t="n">
        <v>227.6</v>
      </c>
      <c r="L5" s="30" t="n">
        <f aca="false">ROUND(I5*J5,2)</f>
        <v>227.6</v>
      </c>
      <c r="M5" s="30" t="n">
        <f aca="false">K5-L5</f>
        <v>0</v>
      </c>
      <c r="N5" s="30" t="n">
        <f aca="false">IF(F5="Promotional Incentive",0,I5)</f>
        <v>2276</v>
      </c>
      <c r="O5" s="30" t="n">
        <f aca="false">IF(F5="Promotional Incentive",0,K5)</f>
        <v>227.6</v>
      </c>
      <c r="P5" s="31" t="s">
        <v>596</v>
      </c>
      <c r="Q5" s="27" t="s">
        <v>128</v>
      </c>
    </row>
    <row r="6" customFormat="false" ht="15" hidden="false" customHeight="false" outlineLevel="0" collapsed="false">
      <c r="A6" s="27" t="s">
        <v>166</v>
      </c>
      <c r="B6" s="27" t="s">
        <v>44</v>
      </c>
      <c r="C6" s="27" t="s">
        <v>47</v>
      </c>
      <c r="D6" s="27" t="s">
        <v>165</v>
      </c>
      <c r="E6" s="27" t="s">
        <v>603</v>
      </c>
      <c r="F6" s="27" t="s">
        <v>110</v>
      </c>
      <c r="G6" s="27" t="s">
        <v>604</v>
      </c>
      <c r="H6" s="28" t="n">
        <v>539</v>
      </c>
      <c r="I6" s="28" t="n">
        <v>539</v>
      </c>
      <c r="J6" s="29" t="n">
        <v>0.1</v>
      </c>
      <c r="K6" s="28" t="n">
        <v>53.9</v>
      </c>
      <c r="L6" s="30" t="n">
        <f aca="false">ROUND(I6*J6,2)</f>
        <v>53.9</v>
      </c>
      <c r="M6" s="30" t="n">
        <f aca="false">K6-L6</f>
        <v>0</v>
      </c>
      <c r="N6" s="30" t="n">
        <f aca="false">IF(F6="Promotional Incentive",0,I6)</f>
        <v>539</v>
      </c>
      <c r="O6" s="30" t="n">
        <f aca="false">IF(F6="Promotional Incentive",0,K6)</f>
        <v>53.9</v>
      </c>
      <c r="P6" s="31" t="s">
        <v>596</v>
      </c>
      <c r="Q6" s="27" t="s">
        <v>164</v>
      </c>
    </row>
    <row r="7" customFormat="false" ht="15" hidden="false" customHeight="false" outlineLevel="0" collapsed="false">
      <c r="A7" s="27" t="s">
        <v>170</v>
      </c>
      <c r="B7" s="27" t="s">
        <v>44</v>
      </c>
      <c r="C7" s="27" t="s">
        <v>47</v>
      </c>
      <c r="D7" s="27" t="s">
        <v>168</v>
      </c>
      <c r="E7" s="27" t="s">
        <v>605</v>
      </c>
      <c r="F7" s="27" t="s">
        <v>110</v>
      </c>
      <c r="G7" s="27" t="s">
        <v>606</v>
      </c>
      <c r="H7" s="28" t="n">
        <v>945</v>
      </c>
      <c r="I7" s="28" t="n">
        <v>945</v>
      </c>
      <c r="J7" s="29" t="n">
        <v>0.1</v>
      </c>
      <c r="K7" s="28" t="n">
        <v>94.5</v>
      </c>
      <c r="L7" s="30" t="n">
        <f aca="false">ROUND(I7*J7,2)</f>
        <v>94.5</v>
      </c>
      <c r="M7" s="30" t="n">
        <f aca="false">K7-L7</f>
        <v>0</v>
      </c>
      <c r="N7" s="30" t="n">
        <f aca="false">IF(F7="Promotional Incentive",0,I7)</f>
        <v>945</v>
      </c>
      <c r="O7" s="30" t="n">
        <f aca="false">IF(F7="Promotional Incentive",0,K7)</f>
        <v>94.5</v>
      </c>
      <c r="P7" s="31" t="s">
        <v>596</v>
      </c>
      <c r="Q7" s="27" t="s">
        <v>167</v>
      </c>
    </row>
    <row r="8" customFormat="false" ht="15" hidden="false" customHeight="false" outlineLevel="0" collapsed="false">
      <c r="A8" s="27" t="s">
        <v>180</v>
      </c>
      <c r="B8" s="27" t="s">
        <v>44</v>
      </c>
      <c r="C8" s="27" t="s">
        <v>47</v>
      </c>
      <c r="D8" s="27" t="s">
        <v>179</v>
      </c>
      <c r="E8" s="27" t="s">
        <v>607</v>
      </c>
      <c r="F8" s="27" t="s">
        <v>110</v>
      </c>
      <c r="G8" s="27" t="s">
        <v>608</v>
      </c>
      <c r="H8" s="28" t="n">
        <v>947</v>
      </c>
      <c r="I8" s="28" t="n">
        <v>947</v>
      </c>
      <c r="J8" s="29" t="n">
        <v>0.1</v>
      </c>
      <c r="K8" s="28" t="n">
        <v>94.7</v>
      </c>
      <c r="L8" s="30" t="n">
        <f aca="false">ROUND(I8*J8,2)</f>
        <v>94.7</v>
      </c>
      <c r="M8" s="30" t="n">
        <f aca="false">K8-L8</f>
        <v>0</v>
      </c>
      <c r="N8" s="30" t="n">
        <f aca="false">IF(F8="Promotional Incentive",0,I8)</f>
        <v>947</v>
      </c>
      <c r="O8" s="30" t="n">
        <f aca="false">IF(F8="Promotional Incentive",0,K8)</f>
        <v>94.7</v>
      </c>
      <c r="P8" s="31" t="s">
        <v>596</v>
      </c>
      <c r="Q8" s="27" t="s">
        <v>178</v>
      </c>
    </row>
    <row r="9" customFormat="false" ht="15" hidden="false" customHeight="false" outlineLevel="0" collapsed="false">
      <c r="A9" s="27" t="s">
        <v>48</v>
      </c>
      <c r="B9" s="27" t="s">
        <v>44</v>
      </c>
      <c r="C9" s="27" t="s">
        <v>47</v>
      </c>
      <c r="D9" s="27" t="s">
        <v>45</v>
      </c>
      <c r="E9" s="27" t="s">
        <v>609</v>
      </c>
      <c r="F9" s="27" t="s">
        <v>25</v>
      </c>
      <c r="G9" s="27" t="s">
        <v>602</v>
      </c>
      <c r="H9" s="28" t="n">
        <v>1175</v>
      </c>
      <c r="I9" s="28" t="n">
        <v>1175</v>
      </c>
      <c r="J9" s="29" t="n">
        <v>0.12</v>
      </c>
      <c r="K9" s="28" t="n">
        <v>141</v>
      </c>
      <c r="L9" s="30" t="n">
        <f aca="false">ROUND(I9*J9,2)</f>
        <v>141</v>
      </c>
      <c r="M9" s="30" t="n">
        <f aca="false">K9-L9</f>
        <v>0</v>
      </c>
      <c r="N9" s="30" t="n">
        <f aca="false">IF(F9="Promotional Incentive",0,I9)</f>
        <v>1175</v>
      </c>
      <c r="O9" s="30" t="n">
        <f aca="false">IF(F9="Promotional Incentive",0,K9)</f>
        <v>141</v>
      </c>
      <c r="P9" s="31" t="s">
        <v>596</v>
      </c>
      <c r="Q9" s="27" t="s">
        <v>43</v>
      </c>
    </row>
    <row r="10" customFormat="false" ht="15" hidden="false" customHeight="false" outlineLevel="0" collapsed="false">
      <c r="A10" s="27" t="s">
        <v>53</v>
      </c>
      <c r="B10" s="27" t="s">
        <v>44</v>
      </c>
      <c r="C10" s="27" t="s">
        <v>47</v>
      </c>
      <c r="D10" s="27" t="s">
        <v>50</v>
      </c>
      <c r="E10" s="27" t="s">
        <v>610</v>
      </c>
      <c r="F10" s="27" t="s">
        <v>597</v>
      </c>
      <c r="G10" s="27" t="s">
        <v>600</v>
      </c>
      <c r="H10" s="28" t="n">
        <v>-277</v>
      </c>
      <c r="I10" s="28" t="n">
        <v>-277</v>
      </c>
      <c r="J10" s="29" t="n">
        <v>0.14</v>
      </c>
      <c r="K10" s="28" t="n">
        <v>-38.78</v>
      </c>
      <c r="L10" s="30" t="n">
        <f aca="false">ROUND(I10*J10,2)</f>
        <v>-38.78</v>
      </c>
      <c r="M10" s="30" t="n">
        <f aca="false">K10-L10</f>
        <v>0</v>
      </c>
      <c r="N10" s="30" t="n">
        <f aca="false">IF(F10="Promotional Incentive",0,I10)</f>
        <v>-277</v>
      </c>
      <c r="O10" s="30" t="n">
        <f aca="false">IF(F10="Promotional Incentive",0,K10)</f>
        <v>-38.78</v>
      </c>
      <c r="P10" s="31" t="s">
        <v>596</v>
      </c>
      <c r="Q10" s="27" t="s">
        <v>49</v>
      </c>
    </row>
    <row r="11" customFormat="false" ht="15" hidden="false" customHeight="false" outlineLevel="0" collapsed="false">
      <c r="A11" s="27" t="s">
        <v>53</v>
      </c>
      <c r="B11" s="27" t="s">
        <v>44</v>
      </c>
      <c r="C11" s="27" t="s">
        <v>47</v>
      </c>
      <c r="D11" s="27" t="s">
        <v>50</v>
      </c>
      <c r="E11" s="27" t="s">
        <v>610</v>
      </c>
      <c r="F11" s="27" t="s">
        <v>25</v>
      </c>
      <c r="G11" s="27" t="s">
        <v>600</v>
      </c>
      <c r="H11" s="28" t="n">
        <v>1935</v>
      </c>
      <c r="I11" s="28" t="n">
        <v>1935</v>
      </c>
      <c r="J11" s="29" t="n">
        <v>0.14</v>
      </c>
      <c r="K11" s="28" t="n">
        <v>270.9</v>
      </c>
      <c r="L11" s="30" t="n">
        <f aca="false">ROUND(I11*J11,2)</f>
        <v>270.9</v>
      </c>
      <c r="M11" s="30" t="n">
        <f aca="false">K11-L11</f>
        <v>0</v>
      </c>
      <c r="N11" s="30" t="n">
        <f aca="false">IF(F11="Promotional Incentive",0,I11)</f>
        <v>1935</v>
      </c>
      <c r="O11" s="30" t="n">
        <f aca="false">IF(F11="Promotional Incentive",0,K11)</f>
        <v>270.9</v>
      </c>
      <c r="P11" s="31" t="s">
        <v>596</v>
      </c>
      <c r="Q11" s="27" t="s">
        <v>49</v>
      </c>
    </row>
    <row r="12" customFormat="false" ht="15" hidden="false" customHeight="false" outlineLevel="0" collapsed="false">
      <c r="A12" s="27" t="s">
        <v>53</v>
      </c>
      <c r="B12" s="27" t="s">
        <v>44</v>
      </c>
      <c r="C12" s="27" t="s">
        <v>47</v>
      </c>
      <c r="D12" s="27" t="s">
        <v>50</v>
      </c>
      <c r="E12" s="27" t="s">
        <v>610</v>
      </c>
      <c r="F12" s="27" t="s">
        <v>597</v>
      </c>
      <c r="G12" s="27" t="s">
        <v>606</v>
      </c>
      <c r="H12" s="28" t="n">
        <v>-244.71</v>
      </c>
      <c r="I12" s="28" t="n">
        <v>-244.71</v>
      </c>
      <c r="J12" s="29" t="n">
        <v>0.14</v>
      </c>
      <c r="K12" s="28" t="n">
        <v>-34.26</v>
      </c>
      <c r="L12" s="30" t="n">
        <f aca="false">ROUND(I12*J12,2)</f>
        <v>-34.26</v>
      </c>
      <c r="M12" s="30" t="n">
        <f aca="false">K12-L12</f>
        <v>0</v>
      </c>
      <c r="N12" s="30" t="n">
        <f aca="false">IF(F12="Promotional Incentive",0,I12)</f>
        <v>-244.71</v>
      </c>
      <c r="O12" s="30" t="n">
        <f aca="false">IF(F12="Promotional Incentive",0,K12)</f>
        <v>-34.26</v>
      </c>
      <c r="P12" s="31" t="s">
        <v>596</v>
      </c>
      <c r="Q12" s="27" t="s">
        <v>49</v>
      </c>
    </row>
    <row r="13" customFormat="false" ht="15" hidden="false" customHeight="false" outlineLevel="0" collapsed="false">
      <c r="A13" s="27" t="s">
        <v>57</v>
      </c>
      <c r="B13" s="27" t="s">
        <v>44</v>
      </c>
      <c r="C13" s="27" t="s">
        <v>47</v>
      </c>
      <c r="D13" s="27" t="s">
        <v>55</v>
      </c>
      <c r="E13" s="27" t="s">
        <v>611</v>
      </c>
      <c r="F13" s="27" t="s">
        <v>25</v>
      </c>
      <c r="G13" s="27" t="s">
        <v>612</v>
      </c>
      <c r="H13" s="28" t="n">
        <v>4319</v>
      </c>
      <c r="I13" s="28" t="n">
        <v>4319</v>
      </c>
      <c r="J13" s="29" t="n">
        <v>0.1</v>
      </c>
      <c r="K13" s="28" t="n">
        <v>431.9</v>
      </c>
      <c r="L13" s="30" t="n">
        <f aca="false">ROUND(I13*J13,2)</f>
        <v>431.9</v>
      </c>
      <c r="M13" s="30" t="n">
        <f aca="false">K13-L13</f>
        <v>0</v>
      </c>
      <c r="N13" s="30" t="n">
        <f aca="false">IF(F13="Promotional Incentive",0,I13)</f>
        <v>4319</v>
      </c>
      <c r="O13" s="30" t="n">
        <f aca="false">IF(F13="Promotional Incentive",0,K13)</f>
        <v>431.9</v>
      </c>
      <c r="P13" s="31" t="s">
        <v>596</v>
      </c>
      <c r="Q13" s="27" t="s">
        <v>54</v>
      </c>
    </row>
    <row r="14" customFormat="false" ht="15" hidden="false" customHeight="false" outlineLevel="0" collapsed="false">
      <c r="A14" s="27" t="s">
        <v>61</v>
      </c>
      <c r="B14" s="27" t="s">
        <v>44</v>
      </c>
      <c r="C14" s="27" t="s">
        <v>47</v>
      </c>
      <c r="D14" s="27" t="s">
        <v>59</v>
      </c>
      <c r="E14" s="27" t="s">
        <v>613</v>
      </c>
      <c r="F14" s="27" t="s">
        <v>25</v>
      </c>
      <c r="G14" s="27" t="s">
        <v>614</v>
      </c>
      <c r="H14" s="28" t="n">
        <v>1071</v>
      </c>
      <c r="I14" s="28" t="n">
        <v>1071</v>
      </c>
      <c r="J14" s="29" t="n">
        <v>0.1</v>
      </c>
      <c r="K14" s="28" t="n">
        <v>107.1</v>
      </c>
      <c r="L14" s="30" t="n">
        <f aca="false">ROUND(I14*J14,2)</f>
        <v>107.1</v>
      </c>
      <c r="M14" s="30" t="n">
        <f aca="false">K14-L14</f>
        <v>0</v>
      </c>
      <c r="N14" s="30" t="n">
        <f aca="false">IF(F14="Promotional Incentive",0,I14)</f>
        <v>1071</v>
      </c>
      <c r="O14" s="30" t="n">
        <f aca="false">IF(F14="Promotional Incentive",0,K14)</f>
        <v>107.1</v>
      </c>
      <c r="P14" s="31" t="s">
        <v>596</v>
      </c>
      <c r="Q14" s="27" t="s">
        <v>58</v>
      </c>
    </row>
    <row r="15" customFormat="false" ht="15" hidden="false" customHeight="false" outlineLevel="0" collapsed="false">
      <c r="A15" s="27" t="s">
        <v>68</v>
      </c>
      <c r="B15" s="27" t="s">
        <v>44</v>
      </c>
      <c r="C15" s="27" t="s">
        <v>47</v>
      </c>
      <c r="D15" s="27" t="s">
        <v>67</v>
      </c>
      <c r="E15" s="27" t="s">
        <v>615</v>
      </c>
      <c r="F15" s="27" t="s">
        <v>25</v>
      </c>
      <c r="G15" s="27" t="s">
        <v>614</v>
      </c>
      <c r="H15" s="28" t="n">
        <v>1568</v>
      </c>
      <c r="I15" s="28" t="n">
        <v>1568</v>
      </c>
      <c r="J15" s="29" t="n">
        <v>0.1</v>
      </c>
      <c r="K15" s="28" t="n">
        <v>156.8</v>
      </c>
      <c r="L15" s="30" t="n">
        <f aca="false">ROUND(I15*J15,2)</f>
        <v>156.8</v>
      </c>
      <c r="M15" s="30" t="n">
        <f aca="false">K15-L15</f>
        <v>0</v>
      </c>
      <c r="N15" s="30" t="n">
        <f aca="false">IF(F15="Promotional Incentive",0,I15)</f>
        <v>1568</v>
      </c>
      <c r="O15" s="30" t="n">
        <f aca="false">IF(F15="Promotional Incentive",0,K15)</f>
        <v>156.8</v>
      </c>
      <c r="P15" s="31" t="s">
        <v>596</v>
      </c>
      <c r="Q15" s="27" t="s">
        <v>66</v>
      </c>
    </row>
    <row r="16" customFormat="false" ht="15" hidden="false" customHeight="false" outlineLevel="0" collapsed="false">
      <c r="A16" s="27" t="s">
        <v>86</v>
      </c>
      <c r="B16" s="27" t="s">
        <v>44</v>
      </c>
      <c r="C16" s="27" t="s">
        <v>47</v>
      </c>
      <c r="D16" s="27" t="s">
        <v>84</v>
      </c>
      <c r="E16" s="27" t="s">
        <v>616</v>
      </c>
      <c r="F16" s="27" t="s">
        <v>597</v>
      </c>
      <c r="G16" s="27" t="s">
        <v>608</v>
      </c>
      <c r="H16" s="28" t="n">
        <v>-86</v>
      </c>
      <c r="I16" s="28" t="n">
        <v>-86</v>
      </c>
      <c r="J16" s="29" t="n">
        <v>0.1</v>
      </c>
      <c r="K16" s="28" t="n">
        <v>-8.6</v>
      </c>
      <c r="L16" s="30" t="n">
        <f aca="false">ROUND(I16*J16,2)</f>
        <v>-8.6</v>
      </c>
      <c r="M16" s="30" t="n">
        <f aca="false">K16-L16</f>
        <v>0</v>
      </c>
      <c r="N16" s="30" t="n">
        <f aca="false">IF(F16="Promotional Incentive",0,I16)</f>
        <v>-86</v>
      </c>
      <c r="O16" s="30" t="n">
        <f aca="false">IF(F16="Promotional Incentive",0,K16)</f>
        <v>-8.6</v>
      </c>
      <c r="P16" s="31" t="s">
        <v>596</v>
      </c>
      <c r="Q16" s="27" t="s">
        <v>83</v>
      </c>
    </row>
    <row r="17" customFormat="false" ht="15" hidden="false" customHeight="false" outlineLevel="0" collapsed="false">
      <c r="A17" s="27" t="s">
        <v>86</v>
      </c>
      <c r="B17" s="27" t="s">
        <v>44</v>
      </c>
      <c r="C17" s="27" t="s">
        <v>47</v>
      </c>
      <c r="D17" s="27" t="s">
        <v>84</v>
      </c>
      <c r="E17" s="27" t="s">
        <v>616</v>
      </c>
      <c r="F17" s="27" t="s">
        <v>25</v>
      </c>
      <c r="G17" s="27" t="s">
        <v>608</v>
      </c>
      <c r="H17" s="28" t="n">
        <v>1760</v>
      </c>
      <c r="I17" s="28" t="n">
        <v>1760</v>
      </c>
      <c r="J17" s="29" t="n">
        <v>0.1</v>
      </c>
      <c r="K17" s="28" t="n">
        <v>176</v>
      </c>
      <c r="L17" s="30" t="n">
        <f aca="false">ROUND(I17*J17,2)</f>
        <v>176</v>
      </c>
      <c r="M17" s="30" t="n">
        <f aca="false">K17-L17</f>
        <v>0</v>
      </c>
      <c r="N17" s="30" t="n">
        <f aca="false">IF(F17="Promotional Incentive",0,I17)</f>
        <v>1760</v>
      </c>
      <c r="O17" s="30" t="n">
        <f aca="false">IF(F17="Promotional Incentive",0,K17)</f>
        <v>176</v>
      </c>
      <c r="P17" s="31" t="s">
        <v>596</v>
      </c>
      <c r="Q17" s="27" t="s">
        <v>83</v>
      </c>
    </row>
    <row r="18" customFormat="false" ht="15" hidden="false" customHeight="false" outlineLevel="0" collapsed="false">
      <c r="A18" s="27" t="s">
        <v>93</v>
      </c>
      <c r="B18" s="27" t="s">
        <v>44</v>
      </c>
      <c r="C18" s="27" t="s">
        <v>47</v>
      </c>
      <c r="D18" s="27" t="s">
        <v>92</v>
      </c>
      <c r="E18" s="27" t="s">
        <v>617</v>
      </c>
      <c r="F18" s="27" t="s">
        <v>25</v>
      </c>
      <c r="G18" s="27" t="s">
        <v>618</v>
      </c>
      <c r="H18" s="28" t="n">
        <v>1770</v>
      </c>
      <c r="I18" s="28" t="n">
        <v>1770</v>
      </c>
      <c r="J18" s="29" t="n">
        <v>0.12</v>
      </c>
      <c r="K18" s="28" t="n">
        <v>212.4</v>
      </c>
      <c r="L18" s="30" t="n">
        <f aca="false">ROUND(I18*J18,2)</f>
        <v>212.4</v>
      </c>
      <c r="M18" s="30" t="n">
        <f aca="false">K18-L18</f>
        <v>0</v>
      </c>
      <c r="N18" s="30" t="n">
        <f aca="false">IF(F18="Promotional Incentive",0,I18)</f>
        <v>1770</v>
      </c>
      <c r="O18" s="30" t="n">
        <f aca="false">IF(F18="Promotional Incentive",0,K18)</f>
        <v>212.4</v>
      </c>
      <c r="P18" s="31" t="s">
        <v>596</v>
      </c>
      <c r="Q18" s="27" t="s">
        <v>91</v>
      </c>
    </row>
    <row r="19" customFormat="false" ht="15" hidden="false" customHeight="false" outlineLevel="0" collapsed="false">
      <c r="A19" s="27" t="s">
        <v>97</v>
      </c>
      <c r="B19" s="27" t="s">
        <v>44</v>
      </c>
      <c r="C19" s="27" t="s">
        <v>47</v>
      </c>
      <c r="D19" s="27" t="s">
        <v>95</v>
      </c>
      <c r="E19" s="27" t="s">
        <v>619</v>
      </c>
      <c r="F19" s="27" t="s">
        <v>25</v>
      </c>
      <c r="G19" s="27" t="s">
        <v>620</v>
      </c>
      <c r="H19" s="28" t="n">
        <v>370</v>
      </c>
      <c r="I19" s="28" t="n">
        <v>370</v>
      </c>
      <c r="J19" s="29" t="n">
        <v>0.1</v>
      </c>
      <c r="K19" s="28" t="n">
        <v>37</v>
      </c>
      <c r="L19" s="30" t="n">
        <f aca="false">ROUND(I19*J19,2)</f>
        <v>37</v>
      </c>
      <c r="M19" s="30" t="n">
        <f aca="false">K19-L19</f>
        <v>0</v>
      </c>
      <c r="N19" s="30" t="n">
        <f aca="false">IF(F19="Promotional Incentive",0,I19)</f>
        <v>370</v>
      </c>
      <c r="O19" s="30" t="n">
        <f aca="false">IF(F19="Promotional Incentive",0,K19)</f>
        <v>37</v>
      </c>
      <c r="P19" s="31" t="s">
        <v>596</v>
      </c>
      <c r="Q19" s="27" t="s">
        <v>94</v>
      </c>
    </row>
    <row r="20" customFormat="false" ht="15" hidden="false" customHeight="false" outlineLevel="0" collapsed="false">
      <c r="A20" s="27" t="s">
        <v>105</v>
      </c>
      <c r="B20" s="27" t="s">
        <v>44</v>
      </c>
      <c r="C20" s="27" t="s">
        <v>47</v>
      </c>
      <c r="D20" s="27" t="s">
        <v>104</v>
      </c>
      <c r="E20" s="27" t="s">
        <v>621</v>
      </c>
      <c r="F20" s="27" t="s">
        <v>25</v>
      </c>
      <c r="G20" s="27" t="s">
        <v>620</v>
      </c>
      <c r="H20" s="28" t="n">
        <v>1994</v>
      </c>
      <c r="I20" s="28" t="n">
        <v>1994</v>
      </c>
      <c r="J20" s="29" t="n">
        <v>0.1</v>
      </c>
      <c r="K20" s="28" t="n">
        <v>199.4</v>
      </c>
      <c r="L20" s="30" t="n">
        <f aca="false">ROUND(I20*J20,2)</f>
        <v>199.4</v>
      </c>
      <c r="M20" s="30" t="n">
        <f aca="false">K20-L20</f>
        <v>0</v>
      </c>
      <c r="N20" s="30" t="n">
        <f aca="false">IF(F20="Promotional Incentive",0,I20)</f>
        <v>1994</v>
      </c>
      <c r="O20" s="30" t="n">
        <f aca="false">IF(F20="Promotional Incentive",0,K20)</f>
        <v>199.4</v>
      </c>
      <c r="P20" s="31" t="s">
        <v>596</v>
      </c>
      <c r="Q20" s="27" t="s">
        <v>103</v>
      </c>
    </row>
    <row r="21" customFormat="false" ht="15" hidden="false" customHeight="false" outlineLevel="0" collapsed="false">
      <c r="A21" s="27" t="s">
        <v>199</v>
      </c>
      <c r="B21" s="27" t="s">
        <v>44</v>
      </c>
      <c r="C21" s="27" t="s">
        <v>47</v>
      </c>
      <c r="D21" s="27" t="s">
        <v>198</v>
      </c>
      <c r="E21" s="27" t="s">
        <v>594</v>
      </c>
      <c r="F21" s="27" t="s">
        <v>110</v>
      </c>
      <c r="G21" s="27" t="s">
        <v>622</v>
      </c>
      <c r="H21" s="28" t="n">
        <v>678</v>
      </c>
      <c r="I21" s="28" t="n">
        <v>678</v>
      </c>
      <c r="J21" s="29" t="n">
        <v>0.1</v>
      </c>
      <c r="K21" s="28" t="n">
        <v>67.8</v>
      </c>
      <c r="L21" s="30" t="n">
        <f aca="false">ROUND(I21*J21,2)</f>
        <v>67.8</v>
      </c>
      <c r="M21" s="30" t="n">
        <f aca="false">K21-L21</f>
        <v>0</v>
      </c>
      <c r="N21" s="30" t="n">
        <f aca="false">IF(F21="Promotional Incentive",0,I21)</f>
        <v>678</v>
      </c>
      <c r="O21" s="30" t="n">
        <f aca="false">IF(F21="Promotional Incentive",0,K21)</f>
        <v>67.8</v>
      </c>
      <c r="P21" s="31" t="s">
        <v>596</v>
      </c>
      <c r="Q21" s="27" t="s">
        <v>134</v>
      </c>
    </row>
    <row r="22" customFormat="false" ht="15" hidden="false" customHeight="false" outlineLevel="0" collapsed="false">
      <c r="A22" s="27" t="s">
        <v>153</v>
      </c>
      <c r="B22" s="27" t="s">
        <v>44</v>
      </c>
      <c r="C22" s="27" t="s">
        <v>47</v>
      </c>
      <c r="D22" s="27" t="s">
        <v>151</v>
      </c>
      <c r="E22" s="27" t="s">
        <v>623</v>
      </c>
      <c r="F22" s="27" t="s">
        <v>110</v>
      </c>
      <c r="G22" s="27" t="s">
        <v>624</v>
      </c>
      <c r="H22" s="28" t="n">
        <v>1906</v>
      </c>
      <c r="I22" s="28" t="n">
        <v>1906</v>
      </c>
      <c r="J22" s="29" t="n">
        <v>0.1</v>
      </c>
      <c r="K22" s="28" t="n">
        <v>190.6</v>
      </c>
      <c r="L22" s="30" t="n">
        <f aca="false">ROUND(I22*J22,2)</f>
        <v>190.6</v>
      </c>
      <c r="M22" s="30" t="n">
        <f aca="false">K22-L22</f>
        <v>0</v>
      </c>
      <c r="N22" s="30" t="n">
        <f aca="false">IF(F22="Promotional Incentive",0,I22)</f>
        <v>1906</v>
      </c>
      <c r="O22" s="30" t="n">
        <f aca="false">IF(F22="Promotional Incentive",0,K22)</f>
        <v>190.6</v>
      </c>
      <c r="P22" s="31" t="s">
        <v>596</v>
      </c>
      <c r="Q22" s="27" t="s">
        <v>150</v>
      </c>
    </row>
    <row r="23" customFormat="false" ht="15" hidden="false" customHeight="false" outlineLevel="0" collapsed="false">
      <c r="A23" s="27" t="s">
        <v>203</v>
      </c>
      <c r="B23" s="27" t="s">
        <v>44</v>
      </c>
      <c r="C23" s="27" t="s">
        <v>47</v>
      </c>
      <c r="D23" s="27" t="s">
        <v>201</v>
      </c>
      <c r="E23" s="27" t="s">
        <v>625</v>
      </c>
      <c r="F23" s="27" t="s">
        <v>110</v>
      </c>
      <c r="G23" s="27" t="s">
        <v>506</v>
      </c>
      <c r="H23" s="28" t="n">
        <v>1443</v>
      </c>
      <c r="I23" s="28" t="n">
        <v>1443</v>
      </c>
      <c r="J23" s="29" t="n">
        <v>0.1</v>
      </c>
      <c r="K23" s="28" t="n">
        <v>144.3</v>
      </c>
      <c r="L23" s="30" t="n">
        <f aca="false">ROUND(I23*J23,2)</f>
        <v>144.3</v>
      </c>
      <c r="M23" s="30" t="n">
        <f aca="false">K23-L23</f>
        <v>0</v>
      </c>
      <c r="N23" s="30" t="n">
        <f aca="false">IF(F23="Promotional Incentive",0,I23)</f>
        <v>1443</v>
      </c>
      <c r="O23" s="30" t="n">
        <f aca="false">IF(F23="Promotional Incentive",0,K23)</f>
        <v>144.3</v>
      </c>
      <c r="P23" s="31" t="s">
        <v>596</v>
      </c>
      <c r="Q23" s="27" t="s">
        <v>200</v>
      </c>
    </row>
    <row r="24" customFormat="false" ht="15" hidden="false" customHeight="false" outlineLevel="0" collapsed="false">
      <c r="A24" s="27" t="s">
        <v>193</v>
      </c>
      <c r="B24" s="27" t="s">
        <v>44</v>
      </c>
      <c r="C24" s="27" t="s">
        <v>47</v>
      </c>
      <c r="D24" s="27" t="s">
        <v>191</v>
      </c>
      <c r="E24" s="27" t="s">
        <v>626</v>
      </c>
      <c r="F24" s="27" t="s">
        <v>110</v>
      </c>
      <c r="G24" s="27" t="s">
        <v>622</v>
      </c>
      <c r="H24" s="28" t="n">
        <v>1907</v>
      </c>
      <c r="I24" s="28" t="n">
        <v>1907</v>
      </c>
      <c r="J24" s="29" t="n">
        <v>0.1</v>
      </c>
      <c r="K24" s="28" t="n">
        <v>190.7</v>
      </c>
      <c r="L24" s="30" t="n">
        <f aca="false">ROUND(I24*J24,2)</f>
        <v>190.7</v>
      </c>
      <c r="M24" s="30" t="n">
        <f aca="false">K24-L24</f>
        <v>0</v>
      </c>
      <c r="N24" s="30" t="n">
        <f aca="false">IF(F24="Promotional Incentive",0,I24)</f>
        <v>1907</v>
      </c>
      <c r="O24" s="30" t="n">
        <f aca="false">IF(F24="Promotional Incentive",0,K24)</f>
        <v>190.7</v>
      </c>
      <c r="P24" s="31" t="s">
        <v>596</v>
      </c>
      <c r="Q24" s="27" t="s">
        <v>190</v>
      </c>
    </row>
    <row r="25" customFormat="false" ht="15" hidden="false" customHeight="false" outlineLevel="0" collapsed="false">
      <c r="A25" s="27" t="s">
        <v>177</v>
      </c>
      <c r="B25" s="27" t="s">
        <v>44</v>
      </c>
      <c r="C25" s="27" t="s">
        <v>47</v>
      </c>
      <c r="D25" s="27" t="s">
        <v>175</v>
      </c>
      <c r="E25" s="27" t="s">
        <v>627</v>
      </c>
      <c r="F25" s="27" t="s">
        <v>110</v>
      </c>
      <c r="G25" s="27" t="s">
        <v>628</v>
      </c>
      <c r="H25" s="28" t="n">
        <v>794</v>
      </c>
      <c r="I25" s="28" t="n">
        <v>794</v>
      </c>
      <c r="J25" s="29" t="n">
        <v>0.1</v>
      </c>
      <c r="K25" s="28" t="n">
        <v>79.4</v>
      </c>
      <c r="L25" s="30" t="n">
        <f aca="false">ROUND(I25*J25,2)</f>
        <v>79.4</v>
      </c>
      <c r="M25" s="30" t="n">
        <f aca="false">K25-L25</f>
        <v>0</v>
      </c>
      <c r="N25" s="30" t="n">
        <f aca="false">IF(F25="Promotional Incentive",0,I25)</f>
        <v>794</v>
      </c>
      <c r="O25" s="30" t="n">
        <f aca="false">IF(F25="Promotional Incentive",0,K25)</f>
        <v>79.4</v>
      </c>
      <c r="P25" s="31" t="s">
        <v>596</v>
      </c>
      <c r="Q25" s="27" t="s">
        <v>174</v>
      </c>
    </row>
    <row r="26" customFormat="false" ht="15" hidden="false" customHeight="false" outlineLevel="0" collapsed="false">
      <c r="A26" s="27" t="s">
        <v>163</v>
      </c>
      <c r="B26" s="27" t="s">
        <v>44</v>
      </c>
      <c r="C26" s="27" t="s">
        <v>47</v>
      </c>
      <c r="D26" s="27" t="s">
        <v>161</v>
      </c>
      <c r="E26" s="27" t="s">
        <v>629</v>
      </c>
      <c r="F26" s="27" t="s">
        <v>110</v>
      </c>
      <c r="G26" s="27" t="s">
        <v>630</v>
      </c>
      <c r="H26" s="28" t="n">
        <v>1278</v>
      </c>
      <c r="I26" s="28" t="n">
        <v>1278</v>
      </c>
      <c r="J26" s="29" t="n">
        <v>0.1</v>
      </c>
      <c r="K26" s="28" t="n">
        <v>127.8</v>
      </c>
      <c r="L26" s="30" t="n">
        <f aca="false">ROUND(I26*J26,2)</f>
        <v>127.8</v>
      </c>
      <c r="M26" s="30" t="n">
        <f aca="false">K26-L26</f>
        <v>0</v>
      </c>
      <c r="N26" s="30" t="n">
        <f aca="false">IF(F26="Promotional Incentive",0,I26)</f>
        <v>1278</v>
      </c>
      <c r="O26" s="30" t="n">
        <f aca="false">IF(F26="Promotional Incentive",0,K26)</f>
        <v>127.8</v>
      </c>
      <c r="P26" s="31" t="s">
        <v>596</v>
      </c>
      <c r="Q26" s="27" t="s">
        <v>160</v>
      </c>
    </row>
    <row r="27" customFormat="false" ht="15" hidden="false" customHeight="false" outlineLevel="0" collapsed="false">
      <c r="A27" s="27" t="s">
        <v>206</v>
      </c>
      <c r="B27" s="27" t="s">
        <v>44</v>
      </c>
      <c r="C27" s="27" t="s">
        <v>47</v>
      </c>
      <c r="D27" s="27" t="s">
        <v>205</v>
      </c>
      <c r="E27" s="27" t="s">
        <v>631</v>
      </c>
      <c r="F27" s="27" t="s">
        <v>110</v>
      </c>
      <c r="G27" s="27" t="s">
        <v>506</v>
      </c>
      <c r="H27" s="28" t="n">
        <v>948</v>
      </c>
      <c r="I27" s="28" t="n">
        <v>948</v>
      </c>
      <c r="J27" s="29" t="n">
        <v>0.1</v>
      </c>
      <c r="K27" s="28" t="n">
        <v>94.8</v>
      </c>
      <c r="L27" s="30" t="n">
        <f aca="false">ROUND(I27*J27,2)</f>
        <v>94.8</v>
      </c>
      <c r="M27" s="30" t="n">
        <f aca="false">K27-L27</f>
        <v>0</v>
      </c>
      <c r="N27" s="30" t="n">
        <f aca="false">IF(F27="Promotional Incentive",0,I27)</f>
        <v>948</v>
      </c>
      <c r="O27" s="30" t="n">
        <f aca="false">IF(F27="Promotional Incentive",0,K27)</f>
        <v>94.8</v>
      </c>
      <c r="P27" s="31" t="s">
        <v>596</v>
      </c>
      <c r="Q27" s="27" t="s">
        <v>204</v>
      </c>
    </row>
    <row r="28" customFormat="false" ht="15" hidden="false" customHeight="false" outlineLevel="0" collapsed="false">
      <c r="A28" s="27" t="s">
        <v>159</v>
      </c>
      <c r="B28" s="27" t="s">
        <v>44</v>
      </c>
      <c r="C28" s="27" t="s">
        <v>47</v>
      </c>
      <c r="D28" s="27" t="s">
        <v>158</v>
      </c>
      <c r="E28" s="27" t="s">
        <v>632</v>
      </c>
      <c r="F28" s="27" t="s">
        <v>110</v>
      </c>
      <c r="G28" s="27" t="s">
        <v>614</v>
      </c>
      <c r="H28" s="28" t="n">
        <v>1205</v>
      </c>
      <c r="I28" s="28" t="n">
        <v>1205</v>
      </c>
      <c r="J28" s="29" t="n">
        <v>0.1</v>
      </c>
      <c r="K28" s="28" t="n">
        <v>120.5</v>
      </c>
      <c r="L28" s="30" t="n">
        <f aca="false">ROUND(I28*J28,2)</f>
        <v>120.5</v>
      </c>
      <c r="M28" s="30" t="n">
        <f aca="false">K28-L28</f>
        <v>0</v>
      </c>
      <c r="N28" s="30" t="n">
        <f aca="false">IF(F28="Promotional Incentive",0,I28)</f>
        <v>1205</v>
      </c>
      <c r="O28" s="30" t="n">
        <f aca="false">IF(F28="Promotional Incentive",0,K28)</f>
        <v>120.5</v>
      </c>
      <c r="P28" s="31" t="s">
        <v>596</v>
      </c>
      <c r="Q28" s="27" t="s">
        <v>157</v>
      </c>
    </row>
    <row r="29" customFormat="false" ht="15" hidden="false" customHeight="false" outlineLevel="0" collapsed="false">
      <c r="A29" s="27" t="s">
        <v>133</v>
      </c>
      <c r="B29" s="27" t="s">
        <v>44</v>
      </c>
      <c r="C29" s="27" t="s">
        <v>47</v>
      </c>
      <c r="D29" s="27" t="s">
        <v>132</v>
      </c>
      <c r="E29" s="27" t="s">
        <v>633</v>
      </c>
      <c r="F29" s="27" t="s">
        <v>110</v>
      </c>
      <c r="G29" s="27" t="s">
        <v>602</v>
      </c>
      <c r="H29" s="28" t="n">
        <v>854</v>
      </c>
      <c r="I29" s="28" t="n">
        <v>854</v>
      </c>
      <c r="J29" s="29" t="n">
        <v>0.1</v>
      </c>
      <c r="K29" s="28" t="n">
        <v>85.4</v>
      </c>
      <c r="L29" s="30" t="n">
        <f aca="false">ROUND(I29*J29,2)</f>
        <v>85.4</v>
      </c>
      <c r="M29" s="30" t="n">
        <f aca="false">K29-L29</f>
        <v>0</v>
      </c>
      <c r="N29" s="30" t="n">
        <f aca="false">IF(F29="Promotional Incentive",0,I29)</f>
        <v>854</v>
      </c>
      <c r="O29" s="30" t="n">
        <f aca="false">IF(F29="Promotional Incentive",0,K29)</f>
        <v>85.4</v>
      </c>
      <c r="P29" s="31" t="s">
        <v>596</v>
      </c>
      <c r="Q29" s="27" t="s">
        <v>131</v>
      </c>
    </row>
    <row r="30" customFormat="false" ht="15" hidden="false" customHeight="false" outlineLevel="0" collapsed="false">
      <c r="A30" s="27" t="s">
        <v>185</v>
      </c>
      <c r="B30" s="27" t="s">
        <v>44</v>
      </c>
      <c r="C30" s="27" t="s">
        <v>47</v>
      </c>
      <c r="D30" s="27" t="s">
        <v>183</v>
      </c>
      <c r="E30" s="27" t="s">
        <v>634</v>
      </c>
      <c r="F30" s="27" t="s">
        <v>110</v>
      </c>
      <c r="G30" s="27" t="s">
        <v>635</v>
      </c>
      <c r="H30" s="28" t="n">
        <v>949</v>
      </c>
      <c r="I30" s="28" t="n">
        <v>949</v>
      </c>
      <c r="J30" s="29" t="n">
        <v>0.1</v>
      </c>
      <c r="K30" s="28" t="n">
        <v>94.9</v>
      </c>
      <c r="L30" s="30" t="n">
        <f aca="false">ROUND(I30*J30,2)</f>
        <v>94.9</v>
      </c>
      <c r="M30" s="30" t="n">
        <f aca="false">K30-L30</f>
        <v>0</v>
      </c>
      <c r="N30" s="30" t="n">
        <f aca="false">IF(F30="Promotional Incentive",0,I30)</f>
        <v>949</v>
      </c>
      <c r="O30" s="30" t="n">
        <f aca="false">IF(F30="Promotional Incentive",0,K30)</f>
        <v>94.9</v>
      </c>
      <c r="P30" s="31" t="s">
        <v>596</v>
      </c>
      <c r="Q30" s="27" t="s">
        <v>181</v>
      </c>
    </row>
    <row r="31" customFormat="false" ht="15" hidden="false" customHeight="false" outlineLevel="0" collapsed="false">
      <c r="A31" s="27" t="s">
        <v>196</v>
      </c>
      <c r="B31" s="27" t="s">
        <v>44</v>
      </c>
      <c r="C31" s="27" t="s">
        <v>47</v>
      </c>
      <c r="D31" s="27" t="s">
        <v>195</v>
      </c>
      <c r="E31" s="27" t="s">
        <v>636</v>
      </c>
      <c r="F31" s="27" t="s">
        <v>110</v>
      </c>
      <c r="G31" s="27" t="s">
        <v>622</v>
      </c>
      <c r="H31" s="28" t="n">
        <v>564</v>
      </c>
      <c r="I31" s="28" t="n">
        <v>564</v>
      </c>
      <c r="J31" s="29" t="n">
        <v>0.1</v>
      </c>
      <c r="K31" s="28" t="n">
        <v>56.4</v>
      </c>
      <c r="L31" s="30" t="n">
        <f aca="false">ROUND(I31*J31,2)</f>
        <v>56.4</v>
      </c>
      <c r="M31" s="30" t="n">
        <f aca="false">K31-L31</f>
        <v>0</v>
      </c>
      <c r="N31" s="30" t="n">
        <f aca="false">IF(F31="Promotional Incentive",0,I31)</f>
        <v>564</v>
      </c>
      <c r="O31" s="30" t="n">
        <f aca="false">IF(F31="Promotional Incentive",0,K31)</f>
        <v>56.4</v>
      </c>
      <c r="P31" s="31" t="s">
        <v>596</v>
      </c>
      <c r="Q31" s="27" t="s">
        <v>194</v>
      </c>
    </row>
    <row r="32" customFormat="false" ht="15" hidden="false" customHeight="false" outlineLevel="0" collapsed="false">
      <c r="A32" s="27" t="s">
        <v>156</v>
      </c>
      <c r="B32" s="27" t="s">
        <v>44</v>
      </c>
      <c r="C32" s="27" t="s">
        <v>47</v>
      </c>
      <c r="D32" s="27" t="s">
        <v>155</v>
      </c>
      <c r="E32" s="27" t="s">
        <v>637</v>
      </c>
      <c r="F32" s="27" t="s">
        <v>110</v>
      </c>
      <c r="G32" s="27" t="s">
        <v>614</v>
      </c>
      <c r="H32" s="28" t="n">
        <v>2083</v>
      </c>
      <c r="I32" s="28" t="n">
        <v>2083</v>
      </c>
      <c r="J32" s="29" t="n">
        <v>0.1</v>
      </c>
      <c r="K32" s="28" t="n">
        <v>208.3</v>
      </c>
      <c r="L32" s="30" t="n">
        <f aca="false">ROUND(I32*J32,2)</f>
        <v>208.3</v>
      </c>
      <c r="M32" s="30" t="n">
        <f aca="false">K32-L32</f>
        <v>0</v>
      </c>
      <c r="N32" s="30" t="n">
        <f aca="false">IF(F32="Promotional Incentive",0,I32)</f>
        <v>2083</v>
      </c>
      <c r="O32" s="30" t="n">
        <f aca="false">IF(F32="Promotional Incentive",0,K32)</f>
        <v>208.3</v>
      </c>
      <c r="P32" s="31" t="s">
        <v>596</v>
      </c>
      <c r="Q32" s="27" t="s">
        <v>154</v>
      </c>
    </row>
    <row r="33" customFormat="false" ht="15" hidden="false" customHeight="false" outlineLevel="0" collapsed="false">
      <c r="A33" s="27" t="s">
        <v>149</v>
      </c>
      <c r="B33" s="27" t="s">
        <v>44</v>
      </c>
      <c r="C33" s="27" t="s">
        <v>47</v>
      </c>
      <c r="D33" s="27" t="s">
        <v>147</v>
      </c>
      <c r="E33" s="27" t="s">
        <v>638</v>
      </c>
      <c r="F33" s="27" t="s">
        <v>110</v>
      </c>
      <c r="G33" s="27" t="s">
        <v>598</v>
      </c>
      <c r="H33" s="28" t="n">
        <v>2194</v>
      </c>
      <c r="I33" s="28" t="n">
        <v>2194</v>
      </c>
      <c r="J33" s="29" t="n">
        <v>0.1</v>
      </c>
      <c r="K33" s="28" t="n">
        <v>219.4</v>
      </c>
      <c r="L33" s="30" t="n">
        <f aca="false">ROUND(I33*J33,2)</f>
        <v>219.4</v>
      </c>
      <c r="M33" s="30" t="n">
        <f aca="false">K33-L33</f>
        <v>0</v>
      </c>
      <c r="N33" s="30" t="n">
        <f aca="false">IF(F33="Promotional Incentive",0,I33)</f>
        <v>2194</v>
      </c>
      <c r="O33" s="30" t="n">
        <f aca="false">IF(F33="Promotional Incentive",0,K33)</f>
        <v>219.4</v>
      </c>
      <c r="P33" s="31" t="s">
        <v>596</v>
      </c>
      <c r="Q33" s="27" t="s">
        <v>146</v>
      </c>
    </row>
    <row r="34" customFormat="false" ht="15" hidden="false" customHeight="false" outlineLevel="0" collapsed="false">
      <c r="A34" s="27" t="s">
        <v>173</v>
      </c>
      <c r="B34" s="27" t="s">
        <v>44</v>
      </c>
      <c r="C34" s="27" t="s">
        <v>47</v>
      </c>
      <c r="D34" s="27" t="s">
        <v>172</v>
      </c>
      <c r="E34" s="27" t="s">
        <v>639</v>
      </c>
      <c r="F34" s="27" t="s">
        <v>110</v>
      </c>
      <c r="G34" s="27" t="s">
        <v>606</v>
      </c>
      <c r="H34" s="28" t="n">
        <v>1213</v>
      </c>
      <c r="I34" s="28" t="n">
        <v>1213</v>
      </c>
      <c r="J34" s="29" t="n">
        <v>0.1</v>
      </c>
      <c r="K34" s="28" t="n">
        <v>121.3</v>
      </c>
      <c r="L34" s="30" t="n">
        <f aca="false">ROUND(I34*J34,2)</f>
        <v>121.3</v>
      </c>
      <c r="M34" s="30" t="n">
        <f aca="false">K34-L34</f>
        <v>0</v>
      </c>
      <c r="N34" s="30" t="n">
        <f aca="false">IF(F34="Promotional Incentive",0,I34)</f>
        <v>1213</v>
      </c>
      <c r="O34" s="30" t="n">
        <f aca="false">IF(F34="Promotional Incentive",0,K34)</f>
        <v>121.3</v>
      </c>
      <c r="P34" s="31" t="s">
        <v>596</v>
      </c>
      <c r="Q34" s="27" t="s">
        <v>171</v>
      </c>
    </row>
    <row r="35" customFormat="false" ht="15" hidden="false" customHeight="false" outlineLevel="0" collapsed="false">
      <c r="A35" s="27" t="s">
        <v>189</v>
      </c>
      <c r="B35" s="27" t="s">
        <v>44</v>
      </c>
      <c r="C35" s="27" t="s">
        <v>47</v>
      </c>
      <c r="D35" s="27" t="s">
        <v>187</v>
      </c>
      <c r="E35" s="27" t="s">
        <v>640</v>
      </c>
      <c r="F35" s="27" t="s">
        <v>110</v>
      </c>
      <c r="G35" s="27" t="s">
        <v>635</v>
      </c>
      <c r="H35" s="28" t="n">
        <v>619</v>
      </c>
      <c r="I35" s="28" t="n">
        <v>619</v>
      </c>
      <c r="J35" s="29" t="n">
        <v>0.1</v>
      </c>
      <c r="K35" s="28" t="n">
        <v>61.9</v>
      </c>
      <c r="L35" s="30" t="n">
        <f aca="false">ROUND(I35*J35,2)</f>
        <v>61.9</v>
      </c>
      <c r="M35" s="30" t="n">
        <f aca="false">K35-L35</f>
        <v>0</v>
      </c>
      <c r="N35" s="30" t="n">
        <f aca="false">IF(F35="Promotional Incentive",0,I35)</f>
        <v>619</v>
      </c>
      <c r="O35" s="30" t="n">
        <f aca="false">IF(F35="Promotional Incentive",0,K35)</f>
        <v>61.9</v>
      </c>
      <c r="P35" s="31" t="s">
        <v>596</v>
      </c>
      <c r="Q35" s="27" t="s">
        <v>186</v>
      </c>
    </row>
    <row r="36" customFormat="false" ht="15" hidden="false" customHeight="false" outlineLevel="0" collapsed="false">
      <c r="A36" s="2" t="s">
        <v>641</v>
      </c>
      <c r="B36" s="2" t="s">
        <v>44</v>
      </c>
      <c r="C36" s="2" t="s">
        <v>47</v>
      </c>
      <c r="D36" s="2" t="s">
        <v>642</v>
      </c>
      <c r="E36" s="2" t="s">
        <v>643</v>
      </c>
      <c r="F36" s="2" t="s">
        <v>644</v>
      </c>
      <c r="G36" s="2" t="s">
        <v>620</v>
      </c>
      <c r="H36" s="32" t="n">
        <v>1717</v>
      </c>
      <c r="I36" s="32" t="n">
        <v>1717</v>
      </c>
      <c r="J36" s="33" t="n">
        <v>0.1</v>
      </c>
      <c r="K36" s="32" t="n">
        <v>171.7</v>
      </c>
      <c r="L36" s="12" t="n">
        <f aca="false">ROUND(I36*J36,2)</f>
        <v>171.7</v>
      </c>
      <c r="M36" s="12" t="n">
        <f aca="false">K36-L36</f>
        <v>0</v>
      </c>
      <c r="N36" s="12" t="n">
        <f aca="false">IF(F36="Promotional Incentive",0,I36)</f>
        <v>1717</v>
      </c>
      <c r="O36" s="12" t="n">
        <f aca="false">IF(F36="Promotional Incentive",0,K36)</f>
        <v>171.7</v>
      </c>
      <c r="P36" s="11" t="s">
        <v>645</v>
      </c>
      <c r="Q36" s="2"/>
    </row>
    <row r="37" customFormat="false" ht="15" hidden="false" customHeight="false" outlineLevel="0" collapsed="false">
      <c r="A37" s="2" t="s">
        <v>646</v>
      </c>
      <c r="B37" s="2" t="s">
        <v>44</v>
      </c>
      <c r="C37" s="2" t="s">
        <v>47</v>
      </c>
      <c r="D37" s="2" t="s">
        <v>647</v>
      </c>
      <c r="E37" s="2" t="s">
        <v>648</v>
      </c>
      <c r="F37" s="2" t="s">
        <v>597</v>
      </c>
      <c r="G37" s="2" t="s">
        <v>602</v>
      </c>
      <c r="H37" s="32" t="n">
        <v>-120.66</v>
      </c>
      <c r="I37" s="32" t="n">
        <v>-120.66</v>
      </c>
      <c r="J37" s="33" t="n">
        <v>0.1</v>
      </c>
      <c r="K37" s="32" t="n">
        <v>-12.07</v>
      </c>
      <c r="L37" s="12" t="n">
        <f aca="false">ROUND(I37*J37,2)</f>
        <v>-12.07</v>
      </c>
      <c r="M37" s="12" t="n">
        <f aca="false">K37-L37</f>
        <v>0</v>
      </c>
      <c r="N37" s="12" t="n">
        <f aca="false">IF(F37="Promotional Incentive",0,I37)</f>
        <v>-120.66</v>
      </c>
      <c r="O37" s="12" t="n">
        <f aca="false">IF(F37="Promotional Incentive",0,K37)</f>
        <v>-12.07</v>
      </c>
      <c r="P37" s="11" t="s">
        <v>645</v>
      </c>
      <c r="Q37" s="2"/>
    </row>
    <row r="38" customFormat="false" ht="15" hidden="false" customHeight="false" outlineLevel="0" collapsed="false">
      <c r="A38" s="2" t="s">
        <v>649</v>
      </c>
      <c r="B38" s="2" t="s">
        <v>44</v>
      </c>
      <c r="C38" s="2" t="s">
        <v>47</v>
      </c>
      <c r="D38" s="2" t="s">
        <v>292</v>
      </c>
      <c r="E38" s="2" t="s">
        <v>650</v>
      </c>
      <c r="F38" s="2" t="s">
        <v>644</v>
      </c>
      <c r="G38" s="2" t="s">
        <v>602</v>
      </c>
      <c r="H38" s="32" t="n">
        <v>299.97</v>
      </c>
      <c r="I38" s="32" t="n">
        <v>299.97</v>
      </c>
      <c r="J38" s="33" t="n">
        <v>0.1</v>
      </c>
      <c r="K38" s="32" t="n">
        <v>30</v>
      </c>
      <c r="L38" s="12" t="n">
        <f aca="false">ROUND(I38*J38,2)</f>
        <v>30</v>
      </c>
      <c r="M38" s="12" t="n">
        <f aca="false">K38-L38</f>
        <v>0</v>
      </c>
      <c r="N38" s="12" t="n">
        <f aca="false">IF(F38="Promotional Incentive",0,I38)</f>
        <v>299.97</v>
      </c>
      <c r="O38" s="12" t="n">
        <f aca="false">IF(F38="Promotional Incentive",0,K38)</f>
        <v>30</v>
      </c>
      <c r="P38" s="11" t="s">
        <v>645</v>
      </c>
      <c r="Q38" s="2"/>
    </row>
    <row r="39" customFormat="false" ht="15" hidden="false" customHeight="false" outlineLevel="0" collapsed="false">
      <c r="A39" s="2" t="s">
        <v>651</v>
      </c>
      <c r="B39" s="2" t="s">
        <v>44</v>
      </c>
      <c r="C39" s="2" t="s">
        <v>47</v>
      </c>
      <c r="D39" s="2" t="s">
        <v>652</v>
      </c>
      <c r="E39" s="2" t="s">
        <v>653</v>
      </c>
      <c r="F39" s="2" t="s">
        <v>644</v>
      </c>
      <c r="G39" s="2" t="s">
        <v>595</v>
      </c>
      <c r="H39" s="32" t="n">
        <v>213.57</v>
      </c>
      <c r="I39" s="32" t="n">
        <v>213.57</v>
      </c>
      <c r="J39" s="33" t="n">
        <v>0.1</v>
      </c>
      <c r="K39" s="32" t="n">
        <v>21.36</v>
      </c>
      <c r="L39" s="12" t="n">
        <f aca="false">ROUND(I39*J39,2)</f>
        <v>21.36</v>
      </c>
      <c r="M39" s="12" t="n">
        <f aca="false">K39-L39</f>
        <v>0</v>
      </c>
      <c r="N39" s="12" t="n">
        <f aca="false">IF(F39="Promotional Incentive",0,I39)</f>
        <v>213.57</v>
      </c>
      <c r="O39" s="12" t="n">
        <f aca="false">IF(F39="Promotional Incentive",0,K39)</f>
        <v>21.36</v>
      </c>
      <c r="P39" s="11" t="s">
        <v>645</v>
      </c>
      <c r="Q39" s="2"/>
    </row>
    <row r="40" customFormat="false" ht="15" hidden="false" customHeight="false" outlineLevel="0" collapsed="false">
      <c r="A40" s="2" t="s">
        <v>654</v>
      </c>
      <c r="B40" s="2" t="s">
        <v>44</v>
      </c>
      <c r="C40" s="2" t="s">
        <v>47</v>
      </c>
      <c r="D40" s="2" t="s">
        <v>655</v>
      </c>
      <c r="E40" s="2" t="s">
        <v>656</v>
      </c>
      <c r="F40" s="2" t="s">
        <v>110</v>
      </c>
      <c r="G40" s="2" t="s">
        <v>606</v>
      </c>
      <c r="H40" s="32" t="n">
        <v>1135</v>
      </c>
      <c r="I40" s="32" t="n">
        <v>1135</v>
      </c>
      <c r="J40" s="33" t="n">
        <v>0.1</v>
      </c>
      <c r="K40" s="32" t="n">
        <v>113.5</v>
      </c>
      <c r="L40" s="12" t="n">
        <f aca="false">ROUND(I40*J40,2)</f>
        <v>113.5</v>
      </c>
      <c r="M40" s="12" t="n">
        <f aca="false">K40-L40</f>
        <v>0</v>
      </c>
      <c r="N40" s="12" t="n">
        <f aca="false">IF(F40="Promotional Incentive",0,I40)</f>
        <v>1135</v>
      </c>
      <c r="O40" s="12" t="n">
        <f aca="false">IF(F40="Promotional Incentive",0,K40)</f>
        <v>113.5</v>
      </c>
      <c r="P40" s="11" t="s">
        <v>645</v>
      </c>
      <c r="Q40" s="2"/>
    </row>
    <row r="41" customFormat="false" ht="15" hidden="false" customHeight="false" outlineLevel="0" collapsed="false">
      <c r="A41" s="2" t="s">
        <v>657</v>
      </c>
      <c r="B41" s="2" t="s">
        <v>44</v>
      </c>
      <c r="C41" s="2" t="s">
        <v>47</v>
      </c>
      <c r="D41" s="2" t="s">
        <v>658</v>
      </c>
      <c r="E41" s="2" t="s">
        <v>659</v>
      </c>
      <c r="F41" s="2" t="s">
        <v>110</v>
      </c>
      <c r="G41" s="2" t="s">
        <v>628</v>
      </c>
      <c r="H41" s="32" t="n">
        <v>1103</v>
      </c>
      <c r="I41" s="32" t="n">
        <v>1103</v>
      </c>
      <c r="J41" s="33" t="n">
        <v>0.1</v>
      </c>
      <c r="K41" s="32" t="n">
        <v>110.3</v>
      </c>
      <c r="L41" s="12" t="n">
        <f aca="false">ROUND(I41*J41,2)</f>
        <v>110.3</v>
      </c>
      <c r="M41" s="12" t="n">
        <f aca="false">K41-L41</f>
        <v>0</v>
      </c>
      <c r="N41" s="12" t="n">
        <f aca="false">IF(F41="Promotional Incentive",0,I41)</f>
        <v>1103</v>
      </c>
      <c r="O41" s="12" t="n">
        <f aca="false">IF(F41="Promotional Incentive",0,K41)</f>
        <v>110.3</v>
      </c>
      <c r="P41" s="11" t="s">
        <v>645</v>
      </c>
      <c r="Q41" s="2"/>
    </row>
    <row r="42" customFormat="false" ht="15" hidden="false" customHeight="false" outlineLevel="0" collapsed="false">
      <c r="A42" s="2" t="s">
        <v>660</v>
      </c>
      <c r="B42" s="2" t="s">
        <v>44</v>
      </c>
      <c r="C42" s="2" t="s">
        <v>47</v>
      </c>
      <c r="D42" s="2" t="s">
        <v>661</v>
      </c>
      <c r="E42" s="2" t="s">
        <v>662</v>
      </c>
      <c r="F42" s="2" t="s">
        <v>110</v>
      </c>
      <c r="G42" s="2" t="s">
        <v>614</v>
      </c>
      <c r="H42" s="32" t="n">
        <v>534</v>
      </c>
      <c r="I42" s="32" t="n">
        <v>534</v>
      </c>
      <c r="J42" s="33" t="n">
        <v>0.1</v>
      </c>
      <c r="K42" s="32" t="n">
        <v>53.4</v>
      </c>
      <c r="L42" s="12" t="n">
        <f aca="false">ROUND(I42*J42,2)</f>
        <v>53.4</v>
      </c>
      <c r="M42" s="12" t="n">
        <f aca="false">K42-L42</f>
        <v>0</v>
      </c>
      <c r="N42" s="12" t="n">
        <f aca="false">IF(F42="Promotional Incentive",0,I42)</f>
        <v>534</v>
      </c>
      <c r="O42" s="12" t="n">
        <f aca="false">IF(F42="Promotional Incentive",0,K42)</f>
        <v>53.4</v>
      </c>
      <c r="P42" s="11" t="s">
        <v>645</v>
      </c>
      <c r="Q42" s="2"/>
    </row>
    <row r="43" customFormat="false" ht="15" hidden="false" customHeight="false" outlineLevel="0" collapsed="false">
      <c r="A43" s="2" t="s">
        <v>663</v>
      </c>
      <c r="B43" s="2" t="s">
        <v>44</v>
      </c>
      <c r="C43" s="2" t="s">
        <v>47</v>
      </c>
      <c r="D43" s="2" t="s">
        <v>664</v>
      </c>
      <c r="E43" s="2" t="s">
        <v>665</v>
      </c>
      <c r="F43" s="2" t="s">
        <v>110</v>
      </c>
      <c r="G43" s="2" t="s">
        <v>630</v>
      </c>
      <c r="H43" s="32" t="n">
        <v>1554</v>
      </c>
      <c r="I43" s="32" t="n">
        <v>1554</v>
      </c>
      <c r="J43" s="33" t="n">
        <v>0.1</v>
      </c>
      <c r="K43" s="32" t="n">
        <v>155.4</v>
      </c>
      <c r="L43" s="12" t="n">
        <f aca="false">ROUND(I43*J43,2)</f>
        <v>155.4</v>
      </c>
      <c r="M43" s="12" t="n">
        <f aca="false">K43-L43</f>
        <v>0</v>
      </c>
      <c r="N43" s="12" t="n">
        <f aca="false">IF(F43="Promotional Incentive",0,I43)</f>
        <v>1554</v>
      </c>
      <c r="O43" s="12" t="n">
        <f aca="false">IF(F43="Promotional Incentive",0,K43)</f>
        <v>155.4</v>
      </c>
      <c r="P43" s="11" t="s">
        <v>645</v>
      </c>
      <c r="Q43" s="2"/>
    </row>
    <row r="44" customFormat="false" ht="15" hidden="false" customHeight="false" outlineLevel="0" collapsed="false">
      <c r="A44" s="2" t="s">
        <v>666</v>
      </c>
      <c r="B44" s="2" t="s">
        <v>44</v>
      </c>
      <c r="C44" s="2" t="s">
        <v>47</v>
      </c>
      <c r="D44" s="2" t="s">
        <v>667</v>
      </c>
      <c r="E44" s="2" t="s">
        <v>668</v>
      </c>
      <c r="F44" s="2" t="s">
        <v>110</v>
      </c>
      <c r="G44" s="2" t="s">
        <v>604</v>
      </c>
      <c r="H44" s="32" t="n">
        <v>1486</v>
      </c>
      <c r="I44" s="32" t="n">
        <v>1486</v>
      </c>
      <c r="J44" s="33" t="n">
        <v>0.1</v>
      </c>
      <c r="K44" s="32" t="n">
        <v>148.6</v>
      </c>
      <c r="L44" s="12" t="n">
        <f aca="false">ROUND(I44*J44,2)</f>
        <v>148.6</v>
      </c>
      <c r="M44" s="12" t="n">
        <f aca="false">K44-L44</f>
        <v>0</v>
      </c>
      <c r="N44" s="12" t="n">
        <f aca="false">IF(F44="Promotional Incentive",0,I44)</f>
        <v>1486</v>
      </c>
      <c r="O44" s="12" t="n">
        <f aca="false">IF(F44="Promotional Incentive",0,K44)</f>
        <v>148.6</v>
      </c>
      <c r="P44" s="11" t="s">
        <v>645</v>
      </c>
      <c r="Q44" s="2"/>
    </row>
    <row r="45" customFormat="false" ht="15" hidden="false" customHeight="false" outlineLevel="0" collapsed="false">
      <c r="A45" s="2" t="s">
        <v>669</v>
      </c>
      <c r="B45" s="2" t="s">
        <v>44</v>
      </c>
      <c r="C45" s="2" t="s">
        <v>47</v>
      </c>
      <c r="D45" s="2" t="s">
        <v>670</v>
      </c>
      <c r="E45" s="2" t="s">
        <v>671</v>
      </c>
      <c r="F45" s="2" t="s">
        <v>644</v>
      </c>
      <c r="G45" s="2" t="s">
        <v>612</v>
      </c>
      <c r="H45" s="32" t="n">
        <v>1.96</v>
      </c>
      <c r="I45" s="32" t="n">
        <v>1.96</v>
      </c>
      <c r="J45" s="33" t="n">
        <v>0.14</v>
      </c>
      <c r="K45" s="32" t="n">
        <v>0.27</v>
      </c>
      <c r="L45" s="12" t="n">
        <f aca="false">ROUND(I45*J45,2)</f>
        <v>0.27</v>
      </c>
      <c r="M45" s="12" t="n">
        <f aca="false">K45-L45</f>
        <v>0</v>
      </c>
      <c r="N45" s="12" t="n">
        <f aca="false">IF(F45="Promotional Incentive",0,I45)</f>
        <v>1.96</v>
      </c>
      <c r="O45" s="12" t="n">
        <f aca="false">IF(F45="Promotional Incentive",0,K45)</f>
        <v>0.27</v>
      </c>
      <c r="P45" s="11" t="s">
        <v>645</v>
      </c>
      <c r="Q45" s="2"/>
    </row>
    <row r="46" customFormat="false" ht="15" hidden="false" customHeight="false" outlineLevel="0" collapsed="false">
      <c r="A46" s="2" t="s">
        <v>672</v>
      </c>
      <c r="B46" s="2" t="s">
        <v>44</v>
      </c>
      <c r="C46" s="2" t="s">
        <v>47</v>
      </c>
      <c r="D46" s="2" t="s">
        <v>673</v>
      </c>
      <c r="E46" s="2" t="s">
        <v>674</v>
      </c>
      <c r="F46" s="2" t="s">
        <v>110</v>
      </c>
      <c r="G46" s="2" t="s">
        <v>618</v>
      </c>
      <c r="H46" s="32" t="n">
        <v>476</v>
      </c>
      <c r="I46" s="32" t="n">
        <v>476</v>
      </c>
      <c r="J46" s="33" t="n">
        <v>0.1</v>
      </c>
      <c r="K46" s="32" t="n">
        <v>47.6</v>
      </c>
      <c r="L46" s="12" t="n">
        <f aca="false">ROUND(I46*J46,2)</f>
        <v>47.6</v>
      </c>
      <c r="M46" s="12" t="n">
        <f aca="false">K46-L46</f>
        <v>0</v>
      </c>
      <c r="N46" s="12" t="n">
        <f aca="false">IF(F46="Promotional Incentive",0,I46)</f>
        <v>476</v>
      </c>
      <c r="O46" s="12" t="n">
        <f aca="false">IF(F46="Promotional Incentive",0,K46)</f>
        <v>47.6</v>
      </c>
      <c r="P46" s="11" t="s">
        <v>645</v>
      </c>
      <c r="Q46" s="2"/>
    </row>
    <row r="47" customFormat="false" ht="15" hidden="false" customHeight="false" outlineLevel="0" collapsed="false">
      <c r="A47" s="2" t="s">
        <v>675</v>
      </c>
      <c r="B47" s="2" t="s">
        <v>44</v>
      </c>
      <c r="C47" s="2" t="s">
        <v>47</v>
      </c>
      <c r="D47" s="2" t="s">
        <v>676</v>
      </c>
      <c r="E47" s="2" t="s">
        <v>677</v>
      </c>
      <c r="F47" s="2" t="s">
        <v>110</v>
      </c>
      <c r="G47" s="2" t="s">
        <v>678</v>
      </c>
      <c r="H47" s="32" t="n">
        <v>1473</v>
      </c>
      <c r="I47" s="32" t="n">
        <v>1473</v>
      </c>
      <c r="J47" s="33" t="n">
        <v>0.1</v>
      </c>
      <c r="K47" s="32" t="n">
        <v>147.3</v>
      </c>
      <c r="L47" s="12" t="n">
        <f aca="false">ROUND(I47*J47,2)</f>
        <v>147.3</v>
      </c>
      <c r="M47" s="12" t="n">
        <f aca="false">K47-L47</f>
        <v>0</v>
      </c>
      <c r="N47" s="12" t="n">
        <f aca="false">IF(F47="Promotional Incentive",0,I47)</f>
        <v>1473</v>
      </c>
      <c r="O47" s="12" t="n">
        <f aca="false">IF(F47="Promotional Incentive",0,K47)</f>
        <v>147.3</v>
      </c>
      <c r="P47" s="11" t="s">
        <v>645</v>
      </c>
      <c r="Q47" s="2"/>
    </row>
    <row r="48" customFormat="false" ht="15" hidden="false" customHeight="false" outlineLevel="0" collapsed="false">
      <c r="A48" s="2" t="s">
        <v>679</v>
      </c>
      <c r="B48" s="2" t="s">
        <v>44</v>
      </c>
      <c r="C48" s="2" t="s">
        <v>47</v>
      </c>
      <c r="D48" s="2" t="s">
        <v>680</v>
      </c>
      <c r="E48" s="2" t="s">
        <v>681</v>
      </c>
      <c r="F48" s="2" t="s">
        <v>682</v>
      </c>
      <c r="G48" s="2" t="s">
        <v>620</v>
      </c>
      <c r="H48" s="32" t="n">
        <v>-12.26</v>
      </c>
      <c r="I48" s="32" t="n">
        <v>-12.26</v>
      </c>
      <c r="J48" s="33" t="n">
        <v>0.1</v>
      </c>
      <c r="K48" s="32" t="n">
        <v>-1.23</v>
      </c>
      <c r="L48" s="12" t="n">
        <f aca="false">ROUND(I48*J48,2)</f>
        <v>-1.23</v>
      </c>
      <c r="M48" s="12" t="n">
        <f aca="false">K48-L48</f>
        <v>0</v>
      </c>
      <c r="N48" s="12" t="n">
        <f aca="false">IF(F48="Promotional Incentive",0,I48)</f>
        <v>-12.26</v>
      </c>
      <c r="O48" s="12" t="n">
        <f aca="false">IF(F48="Promotional Incentive",0,K48)</f>
        <v>-1.23</v>
      </c>
      <c r="P48" s="11" t="s">
        <v>645</v>
      </c>
      <c r="Q48" s="2"/>
    </row>
    <row r="49" customFormat="false" ht="15" hidden="false" customHeight="false" outlineLevel="0" collapsed="false">
      <c r="A49" s="2" t="s">
        <v>683</v>
      </c>
      <c r="B49" s="2" t="s">
        <v>44</v>
      </c>
      <c r="C49" s="2" t="s">
        <v>47</v>
      </c>
      <c r="D49" s="2" t="s">
        <v>684</v>
      </c>
      <c r="E49" s="2" t="s">
        <v>685</v>
      </c>
      <c r="F49" s="2" t="s">
        <v>110</v>
      </c>
      <c r="G49" s="2" t="s">
        <v>506</v>
      </c>
      <c r="H49" s="32" t="n">
        <v>1062</v>
      </c>
      <c r="I49" s="32" t="n">
        <v>1062</v>
      </c>
      <c r="J49" s="33" t="n">
        <v>0.1</v>
      </c>
      <c r="K49" s="32" t="n">
        <v>106.2</v>
      </c>
      <c r="L49" s="12" t="n">
        <f aca="false">ROUND(I49*J49,2)</f>
        <v>106.2</v>
      </c>
      <c r="M49" s="12" t="n">
        <f aca="false">K49-L49</f>
        <v>0</v>
      </c>
      <c r="N49" s="12" t="n">
        <f aca="false">IF(F49="Promotional Incentive",0,I49)</f>
        <v>1062</v>
      </c>
      <c r="O49" s="12" t="n">
        <f aca="false">IF(F49="Promotional Incentive",0,K49)</f>
        <v>106.2</v>
      </c>
      <c r="P49" s="11" t="s">
        <v>645</v>
      </c>
      <c r="Q49" s="2"/>
    </row>
    <row r="50" customFormat="false" ht="15" hidden="false" customHeight="false" outlineLevel="0" collapsed="false">
      <c r="A50" s="2" t="s">
        <v>686</v>
      </c>
      <c r="B50" s="2" t="s">
        <v>44</v>
      </c>
      <c r="C50" s="2" t="s">
        <v>47</v>
      </c>
      <c r="D50" s="2" t="s">
        <v>687</v>
      </c>
      <c r="E50" s="2" t="s">
        <v>688</v>
      </c>
      <c r="F50" s="2" t="s">
        <v>682</v>
      </c>
      <c r="G50" s="2" t="s">
        <v>689</v>
      </c>
      <c r="H50" s="32" t="n">
        <v>-47.64</v>
      </c>
      <c r="I50" s="32" t="n">
        <v>-47.64</v>
      </c>
      <c r="J50" s="33" t="n">
        <v>0.1</v>
      </c>
      <c r="K50" s="32" t="n">
        <v>-4.76</v>
      </c>
      <c r="L50" s="12" t="n">
        <f aca="false">ROUND(I50*J50,2)</f>
        <v>-4.76</v>
      </c>
      <c r="M50" s="12" t="n">
        <f aca="false">K50-L50</f>
        <v>0</v>
      </c>
      <c r="N50" s="12" t="n">
        <f aca="false">IF(F50="Promotional Incentive",0,I50)</f>
        <v>-47.64</v>
      </c>
      <c r="O50" s="12" t="n">
        <f aca="false">IF(F50="Promotional Incentive",0,K50)</f>
        <v>-4.76</v>
      </c>
      <c r="P50" s="11" t="s">
        <v>645</v>
      </c>
      <c r="Q50" s="2"/>
    </row>
    <row r="51" customFormat="false" ht="15" hidden="false" customHeight="false" outlineLevel="0" collapsed="false">
      <c r="A51" s="2" t="s">
        <v>690</v>
      </c>
      <c r="B51" s="2" t="s">
        <v>44</v>
      </c>
      <c r="C51" s="2" t="s">
        <v>47</v>
      </c>
      <c r="D51" s="2" t="s">
        <v>296</v>
      </c>
      <c r="E51" s="2" t="s">
        <v>691</v>
      </c>
      <c r="F51" s="2" t="s">
        <v>110</v>
      </c>
      <c r="G51" s="2" t="s">
        <v>692</v>
      </c>
      <c r="H51" s="32" t="n">
        <v>1794</v>
      </c>
      <c r="I51" s="32" t="n">
        <v>1794</v>
      </c>
      <c r="J51" s="33" t="n">
        <v>0.1</v>
      </c>
      <c r="K51" s="32" t="n">
        <v>179.4</v>
      </c>
      <c r="L51" s="12" t="n">
        <f aca="false">ROUND(I51*J51,2)</f>
        <v>179.4</v>
      </c>
      <c r="M51" s="12" t="n">
        <f aca="false">K51-L51</f>
        <v>0</v>
      </c>
      <c r="N51" s="12" t="n">
        <f aca="false">IF(F51="Promotional Incentive",0,I51)</f>
        <v>1794</v>
      </c>
      <c r="O51" s="12" t="n">
        <f aca="false">IF(F51="Promotional Incentive",0,K51)</f>
        <v>179.4</v>
      </c>
      <c r="P51" s="11" t="s">
        <v>645</v>
      </c>
      <c r="Q51" s="2"/>
    </row>
    <row r="52" customFormat="false" ht="15" hidden="false" customHeight="false" outlineLevel="0" collapsed="false">
      <c r="A52" s="2" t="s">
        <v>693</v>
      </c>
      <c r="B52" s="2" t="s">
        <v>44</v>
      </c>
      <c r="C52" s="2" t="s">
        <v>47</v>
      </c>
      <c r="D52" s="2" t="s">
        <v>694</v>
      </c>
      <c r="E52" s="2" t="s">
        <v>695</v>
      </c>
      <c r="F52" s="2" t="s">
        <v>110</v>
      </c>
      <c r="G52" s="2" t="s">
        <v>696</v>
      </c>
      <c r="H52" s="32" t="n">
        <v>1291</v>
      </c>
      <c r="I52" s="32" t="n">
        <v>1291</v>
      </c>
      <c r="J52" s="33" t="n">
        <v>0.1</v>
      </c>
      <c r="K52" s="32" t="n">
        <v>129.1</v>
      </c>
      <c r="L52" s="12" t="n">
        <f aca="false">ROUND(I52*J52,2)</f>
        <v>129.1</v>
      </c>
      <c r="M52" s="12" t="n">
        <f aca="false">K52-L52</f>
        <v>0</v>
      </c>
      <c r="N52" s="12" t="n">
        <f aca="false">IF(F52="Promotional Incentive",0,I52)</f>
        <v>1291</v>
      </c>
      <c r="O52" s="12" t="n">
        <f aca="false">IF(F52="Promotional Incentive",0,K52)</f>
        <v>129.1</v>
      </c>
      <c r="P52" s="11" t="s">
        <v>645</v>
      </c>
      <c r="Q52" s="2"/>
    </row>
    <row r="53" customFormat="false" ht="15" hidden="false" customHeight="false" outlineLevel="0" collapsed="false">
      <c r="A53" s="2" t="s">
        <v>697</v>
      </c>
      <c r="B53" s="2" t="s">
        <v>44</v>
      </c>
      <c r="C53" s="2" t="s">
        <v>47</v>
      </c>
      <c r="D53" s="2" t="s">
        <v>698</v>
      </c>
      <c r="E53" s="2" t="s">
        <v>699</v>
      </c>
      <c r="F53" s="2" t="s">
        <v>682</v>
      </c>
      <c r="G53" s="2" t="s">
        <v>602</v>
      </c>
      <c r="H53" s="32" t="n">
        <v>-691.35</v>
      </c>
      <c r="I53" s="32" t="n">
        <v>-691.35</v>
      </c>
      <c r="J53" s="33" t="n">
        <v>0.1</v>
      </c>
      <c r="K53" s="32" t="n">
        <v>-69.14</v>
      </c>
      <c r="L53" s="12" t="n">
        <f aca="false">ROUND(I53*J53,2)</f>
        <v>-69.14</v>
      </c>
      <c r="M53" s="12" t="n">
        <f aca="false">K53-L53</f>
        <v>0</v>
      </c>
      <c r="N53" s="12" t="n">
        <f aca="false">IF(F53="Promotional Incentive",0,I53)</f>
        <v>-691.35</v>
      </c>
      <c r="O53" s="12" t="n">
        <f aca="false">IF(F53="Promotional Incentive",0,K53)</f>
        <v>-69.14</v>
      </c>
      <c r="P53" s="11" t="s">
        <v>645</v>
      </c>
      <c r="Q53" s="2"/>
    </row>
    <row r="54" customFormat="false" ht="15" hidden="false" customHeight="false" outlineLevel="0" collapsed="false">
      <c r="A54" s="2" t="s">
        <v>700</v>
      </c>
      <c r="B54" s="2" t="s">
        <v>44</v>
      </c>
      <c r="C54" s="2" t="s">
        <v>47</v>
      </c>
      <c r="D54" s="2" t="s">
        <v>701</v>
      </c>
      <c r="E54" s="2" t="s">
        <v>702</v>
      </c>
      <c r="F54" s="2" t="s">
        <v>682</v>
      </c>
      <c r="G54" s="2" t="s">
        <v>628</v>
      </c>
      <c r="H54" s="32" t="n">
        <v>-281.63</v>
      </c>
      <c r="I54" s="32" t="n">
        <v>-281.63</v>
      </c>
      <c r="J54" s="33" t="n">
        <v>0.1</v>
      </c>
      <c r="K54" s="32" t="n">
        <v>-28.16</v>
      </c>
      <c r="L54" s="12" t="n">
        <f aca="false">ROUND(I54*J54,2)</f>
        <v>-28.16</v>
      </c>
      <c r="M54" s="12" t="n">
        <f aca="false">K54-L54</f>
        <v>0</v>
      </c>
      <c r="N54" s="12" t="n">
        <f aca="false">IF(F54="Promotional Incentive",0,I54)</f>
        <v>-281.63</v>
      </c>
      <c r="O54" s="12" t="n">
        <f aca="false">IF(F54="Promotional Incentive",0,K54)</f>
        <v>-28.16</v>
      </c>
      <c r="P54" s="11" t="s">
        <v>645</v>
      </c>
      <c r="Q54" s="2"/>
    </row>
    <row r="55" customFormat="false" ht="15" hidden="false" customHeight="false" outlineLevel="0" collapsed="false">
      <c r="A55" s="2" t="s">
        <v>703</v>
      </c>
      <c r="B55" s="2" t="s">
        <v>44</v>
      </c>
      <c r="C55" s="2" t="s">
        <v>47</v>
      </c>
      <c r="D55" s="2" t="s">
        <v>704</v>
      </c>
      <c r="E55" s="2" t="s">
        <v>705</v>
      </c>
      <c r="F55" s="2" t="s">
        <v>597</v>
      </c>
      <c r="G55" s="2" t="s">
        <v>506</v>
      </c>
      <c r="H55" s="32" t="n">
        <v>-1.18</v>
      </c>
      <c r="I55" s="32" t="n">
        <v>-1.18</v>
      </c>
      <c r="J55" s="33" t="n">
        <v>0.14</v>
      </c>
      <c r="K55" s="32" t="n">
        <v>-0.17</v>
      </c>
      <c r="L55" s="12" t="n">
        <f aca="false">ROUND(I55*J55,2)</f>
        <v>-0.17</v>
      </c>
      <c r="M55" s="12" t="n">
        <f aca="false">K55-L55</f>
        <v>0</v>
      </c>
      <c r="N55" s="12" t="n">
        <f aca="false">IF(F55="Promotional Incentive",0,I55)</f>
        <v>-1.18</v>
      </c>
      <c r="O55" s="12" t="n">
        <f aca="false">IF(F55="Promotional Incentive",0,K55)</f>
        <v>-0.17</v>
      </c>
      <c r="P55" s="11" t="s">
        <v>645</v>
      </c>
      <c r="Q55" s="2"/>
    </row>
    <row r="56" customFormat="false" ht="15" hidden="false" customHeight="false" outlineLevel="0" collapsed="false">
      <c r="A56" s="2" t="s">
        <v>706</v>
      </c>
      <c r="B56" s="2" t="s">
        <v>44</v>
      </c>
      <c r="C56" s="2" t="s">
        <v>47</v>
      </c>
      <c r="D56" s="2" t="s">
        <v>299</v>
      </c>
      <c r="E56" s="2" t="s">
        <v>707</v>
      </c>
      <c r="F56" s="2" t="s">
        <v>682</v>
      </c>
      <c r="G56" s="2" t="s">
        <v>523</v>
      </c>
      <c r="H56" s="32" t="n">
        <v>-592.29</v>
      </c>
      <c r="I56" s="32" t="n">
        <v>-592.29</v>
      </c>
      <c r="J56" s="33" t="n">
        <v>0.1</v>
      </c>
      <c r="K56" s="32" t="n">
        <v>-59.23</v>
      </c>
      <c r="L56" s="12" t="n">
        <f aca="false">ROUND(I56*J56,2)</f>
        <v>-59.23</v>
      </c>
      <c r="M56" s="12" t="n">
        <f aca="false">K56-L56</f>
        <v>0</v>
      </c>
      <c r="N56" s="12" t="n">
        <f aca="false">IF(F56="Promotional Incentive",0,I56)</f>
        <v>-592.29</v>
      </c>
      <c r="O56" s="12" t="n">
        <f aca="false">IF(F56="Promotional Incentive",0,K56)</f>
        <v>-59.23</v>
      </c>
      <c r="P56" s="11" t="s">
        <v>645</v>
      </c>
      <c r="Q56" s="2"/>
    </row>
    <row r="57" customFormat="false" ht="15" hidden="false" customHeight="false" outlineLevel="0" collapsed="false">
      <c r="A57" s="2" t="s">
        <v>708</v>
      </c>
      <c r="B57" s="2" t="s">
        <v>44</v>
      </c>
      <c r="C57" s="2" t="s">
        <v>47</v>
      </c>
      <c r="D57" s="2" t="s">
        <v>709</v>
      </c>
      <c r="E57" s="2" t="s">
        <v>710</v>
      </c>
      <c r="F57" s="2" t="s">
        <v>682</v>
      </c>
      <c r="G57" s="2" t="s">
        <v>612</v>
      </c>
      <c r="H57" s="32" t="n">
        <v>-819.16</v>
      </c>
      <c r="I57" s="32" t="n">
        <v>-819.16</v>
      </c>
      <c r="J57" s="33" t="n">
        <v>0.12</v>
      </c>
      <c r="K57" s="32" t="n">
        <v>-98.3</v>
      </c>
      <c r="L57" s="12" t="n">
        <f aca="false">ROUND(I57*J57,2)</f>
        <v>-98.3</v>
      </c>
      <c r="M57" s="12" t="n">
        <f aca="false">K57-L57</f>
        <v>0</v>
      </c>
      <c r="N57" s="12" t="n">
        <f aca="false">IF(F57="Promotional Incentive",0,I57)</f>
        <v>-819.16</v>
      </c>
      <c r="O57" s="12" t="n">
        <f aca="false">IF(F57="Promotional Incentive",0,K57)</f>
        <v>-98.3</v>
      </c>
      <c r="P57" s="11" t="s">
        <v>645</v>
      </c>
      <c r="Q57" s="2"/>
    </row>
    <row r="58" customFormat="false" ht="15" hidden="false" customHeight="false" outlineLevel="0" collapsed="false">
      <c r="A58" s="2" t="s">
        <v>711</v>
      </c>
      <c r="B58" s="2" t="s">
        <v>44</v>
      </c>
      <c r="C58" s="2" t="s">
        <v>47</v>
      </c>
      <c r="D58" s="2" t="s">
        <v>302</v>
      </c>
      <c r="E58" s="2" t="s">
        <v>712</v>
      </c>
      <c r="F58" s="2" t="s">
        <v>644</v>
      </c>
      <c r="G58" s="2" t="s">
        <v>598</v>
      </c>
      <c r="H58" s="32" t="n">
        <v>0</v>
      </c>
      <c r="I58" s="32" t="n">
        <v>0</v>
      </c>
      <c r="J58" s="33" t="n">
        <v>0.1</v>
      </c>
      <c r="K58" s="32" t="n">
        <v>0</v>
      </c>
      <c r="L58" s="12" t="n">
        <f aca="false">ROUND(I58*J58,2)</f>
        <v>0</v>
      </c>
      <c r="M58" s="12" t="n">
        <f aca="false">K58-L58</f>
        <v>0</v>
      </c>
      <c r="N58" s="12" t="n">
        <f aca="false">IF(F58="Promotional Incentive",0,I58)</f>
        <v>0</v>
      </c>
      <c r="O58" s="12" t="n">
        <f aca="false">IF(F58="Promotional Incentive",0,K58)</f>
        <v>0</v>
      </c>
      <c r="P58" s="11" t="s">
        <v>645</v>
      </c>
      <c r="Q58" s="2"/>
    </row>
    <row r="59" customFormat="false" ht="15" hidden="false" customHeight="false" outlineLevel="0" collapsed="false">
      <c r="A59" s="2" t="s">
        <v>713</v>
      </c>
      <c r="B59" s="2" t="s">
        <v>44</v>
      </c>
      <c r="C59" s="2" t="s">
        <v>47</v>
      </c>
      <c r="D59" s="2" t="s">
        <v>714</v>
      </c>
      <c r="E59" s="2" t="s">
        <v>715</v>
      </c>
      <c r="F59" s="2" t="s">
        <v>597</v>
      </c>
      <c r="G59" s="2" t="s">
        <v>506</v>
      </c>
      <c r="H59" s="32" t="n">
        <v>-169.06</v>
      </c>
      <c r="I59" s="32" t="n">
        <v>-169.06</v>
      </c>
      <c r="J59" s="33" t="n">
        <v>0.14</v>
      </c>
      <c r="K59" s="32" t="n">
        <v>-23.67</v>
      </c>
      <c r="L59" s="12" t="n">
        <f aca="false">ROUND(I59*J59,2)</f>
        <v>-23.67</v>
      </c>
      <c r="M59" s="12" t="n">
        <f aca="false">K59-L59</f>
        <v>0</v>
      </c>
      <c r="N59" s="12" t="n">
        <f aca="false">IF(F59="Promotional Incentive",0,I59)</f>
        <v>-169.06</v>
      </c>
      <c r="O59" s="12" t="n">
        <f aca="false">IF(F59="Promotional Incentive",0,K59)</f>
        <v>-23.67</v>
      </c>
      <c r="P59" s="11" t="s">
        <v>645</v>
      </c>
      <c r="Q59" s="2"/>
    </row>
    <row r="60" customFormat="false" ht="15" hidden="false" customHeight="false" outlineLevel="0" collapsed="false">
      <c r="A60" s="2" t="s">
        <v>716</v>
      </c>
      <c r="B60" s="2" t="s">
        <v>44</v>
      </c>
      <c r="C60" s="2" t="s">
        <v>47</v>
      </c>
      <c r="D60" s="2" t="s">
        <v>717</v>
      </c>
      <c r="E60" s="2" t="s">
        <v>718</v>
      </c>
      <c r="F60" s="2" t="s">
        <v>597</v>
      </c>
      <c r="G60" s="2" t="s">
        <v>719</v>
      </c>
      <c r="H60" s="32" t="n">
        <v>-3017</v>
      </c>
      <c r="I60" s="32" t="n">
        <v>-3017</v>
      </c>
      <c r="J60" s="33" t="n">
        <v>0.1</v>
      </c>
      <c r="K60" s="32" t="n">
        <v>-301.7</v>
      </c>
      <c r="L60" s="12" t="n">
        <f aca="false">ROUND(I60*J60,2)</f>
        <v>-301.7</v>
      </c>
      <c r="M60" s="12" t="n">
        <f aca="false">K60-L60</f>
        <v>0</v>
      </c>
      <c r="N60" s="12" t="n">
        <f aca="false">IF(F60="Promotional Incentive",0,I60)</f>
        <v>-3017</v>
      </c>
      <c r="O60" s="12" t="n">
        <f aca="false">IF(F60="Promotional Incentive",0,K60)</f>
        <v>-301.7</v>
      </c>
      <c r="P60" s="11" t="s">
        <v>645</v>
      </c>
      <c r="Q60" s="2"/>
    </row>
    <row r="61" customFormat="false" ht="15" hidden="false" customHeight="false" outlineLevel="0" collapsed="false">
      <c r="A61" s="2" t="s">
        <v>720</v>
      </c>
      <c r="B61" s="2" t="s">
        <v>44</v>
      </c>
      <c r="C61" s="2" t="s">
        <v>47</v>
      </c>
      <c r="D61" s="2" t="s">
        <v>306</v>
      </c>
      <c r="E61" s="2" t="s">
        <v>721</v>
      </c>
      <c r="F61" s="2" t="s">
        <v>597</v>
      </c>
      <c r="G61" s="2" t="s">
        <v>722</v>
      </c>
      <c r="H61" s="32" t="n">
        <v>-133.12</v>
      </c>
      <c r="I61" s="32" t="n">
        <v>-133.12</v>
      </c>
      <c r="J61" s="33" t="n">
        <v>0.1</v>
      </c>
      <c r="K61" s="32" t="n">
        <v>-13.31</v>
      </c>
      <c r="L61" s="12" t="n">
        <f aca="false">ROUND(I61*J61,2)</f>
        <v>-13.31</v>
      </c>
      <c r="M61" s="12" t="n">
        <f aca="false">K61-L61</f>
        <v>0</v>
      </c>
      <c r="N61" s="12" t="n">
        <f aca="false">IF(F61="Promotional Incentive",0,I61)</f>
        <v>-133.12</v>
      </c>
      <c r="O61" s="12" t="n">
        <f aca="false">IF(F61="Promotional Incentive",0,K61)</f>
        <v>-13.31</v>
      </c>
      <c r="P61" s="11" t="s">
        <v>645</v>
      </c>
      <c r="Q61" s="2"/>
    </row>
    <row r="62" customFormat="false" ht="15" hidden="false" customHeight="false" outlineLevel="0" collapsed="false">
      <c r="A62" s="2" t="s">
        <v>723</v>
      </c>
      <c r="B62" s="2" t="s">
        <v>44</v>
      </c>
      <c r="C62" s="2" t="s">
        <v>47</v>
      </c>
      <c r="D62" s="2" t="s">
        <v>309</v>
      </c>
      <c r="E62" s="2" t="s">
        <v>724</v>
      </c>
      <c r="F62" s="2" t="s">
        <v>597</v>
      </c>
      <c r="G62" s="2" t="s">
        <v>612</v>
      </c>
      <c r="H62" s="32" t="n">
        <v>-26.08</v>
      </c>
      <c r="I62" s="32" t="n">
        <v>-26.08</v>
      </c>
      <c r="J62" s="33" t="n">
        <v>0.1</v>
      </c>
      <c r="K62" s="32" t="n">
        <v>-2.61</v>
      </c>
      <c r="L62" s="12" t="n">
        <f aca="false">ROUND(I62*J62,2)</f>
        <v>-2.61</v>
      </c>
      <c r="M62" s="12" t="n">
        <f aca="false">K62-L62</f>
        <v>0</v>
      </c>
      <c r="N62" s="12" t="n">
        <f aca="false">IF(F62="Promotional Incentive",0,I62)</f>
        <v>-26.08</v>
      </c>
      <c r="O62" s="12" t="n">
        <f aca="false">IF(F62="Promotional Incentive",0,K62)</f>
        <v>-2.61</v>
      </c>
      <c r="P62" s="11" t="s">
        <v>645</v>
      </c>
      <c r="Q62" s="2"/>
    </row>
    <row r="63" customFormat="false" ht="15" hidden="false" customHeight="false" outlineLevel="0" collapsed="false">
      <c r="A63" s="2" t="s">
        <v>725</v>
      </c>
      <c r="B63" s="2" t="s">
        <v>44</v>
      </c>
      <c r="C63" s="2" t="s">
        <v>47</v>
      </c>
      <c r="D63" s="2" t="s">
        <v>726</v>
      </c>
      <c r="E63" s="2" t="s">
        <v>727</v>
      </c>
      <c r="F63" s="2" t="s">
        <v>644</v>
      </c>
      <c r="G63" s="2" t="s">
        <v>520</v>
      </c>
      <c r="H63" s="32" t="n">
        <v>258.68</v>
      </c>
      <c r="I63" s="32" t="n">
        <v>258.68</v>
      </c>
      <c r="J63" s="33" t="n">
        <v>0.12</v>
      </c>
      <c r="K63" s="32" t="n">
        <v>31.04</v>
      </c>
      <c r="L63" s="12" t="n">
        <f aca="false">ROUND(I63*J63,2)</f>
        <v>31.04</v>
      </c>
      <c r="M63" s="12" t="n">
        <f aca="false">K63-L63</f>
        <v>0</v>
      </c>
      <c r="N63" s="12" t="n">
        <f aca="false">IF(F63="Promotional Incentive",0,I63)</f>
        <v>258.68</v>
      </c>
      <c r="O63" s="12" t="n">
        <f aca="false">IF(F63="Promotional Incentive",0,K63)</f>
        <v>31.04</v>
      </c>
      <c r="P63" s="11" t="s">
        <v>645</v>
      </c>
      <c r="Q63" s="2"/>
    </row>
    <row r="64" customFormat="false" ht="15" hidden="false" customHeight="false" outlineLevel="0" collapsed="false">
      <c r="A64" s="2" t="s">
        <v>725</v>
      </c>
      <c r="B64" s="2" t="s">
        <v>44</v>
      </c>
      <c r="C64" s="2" t="s">
        <v>47</v>
      </c>
      <c r="D64" s="2" t="s">
        <v>726</v>
      </c>
      <c r="E64" s="2" t="s">
        <v>727</v>
      </c>
      <c r="F64" s="2" t="s">
        <v>597</v>
      </c>
      <c r="G64" s="2" t="s">
        <v>618</v>
      </c>
      <c r="H64" s="32" t="n">
        <v>-178.61</v>
      </c>
      <c r="I64" s="32" t="n">
        <v>-178.61</v>
      </c>
      <c r="J64" s="33" t="n">
        <v>0.12</v>
      </c>
      <c r="K64" s="32" t="n">
        <v>-21.43</v>
      </c>
      <c r="L64" s="12" t="n">
        <f aca="false">ROUND(I64*J64,2)</f>
        <v>-21.43</v>
      </c>
      <c r="M64" s="12" t="n">
        <f aca="false">K64-L64</f>
        <v>0</v>
      </c>
      <c r="N64" s="12" t="n">
        <f aca="false">IF(F64="Promotional Incentive",0,I64)</f>
        <v>-178.61</v>
      </c>
      <c r="O64" s="12" t="n">
        <f aca="false">IF(F64="Promotional Incentive",0,K64)</f>
        <v>-21.43</v>
      </c>
      <c r="P64" s="11" t="s">
        <v>645</v>
      </c>
      <c r="Q64" s="2"/>
    </row>
    <row r="65" customFormat="false" ht="15" hidden="false" customHeight="false" outlineLevel="0" collapsed="false">
      <c r="A65" s="2" t="s">
        <v>728</v>
      </c>
      <c r="B65" s="2" t="s">
        <v>44</v>
      </c>
      <c r="C65" s="2" t="s">
        <v>47</v>
      </c>
      <c r="D65" s="2" t="s">
        <v>729</v>
      </c>
      <c r="E65" s="2" t="s">
        <v>730</v>
      </c>
      <c r="F65" s="2" t="s">
        <v>682</v>
      </c>
      <c r="G65" s="2" t="s">
        <v>731</v>
      </c>
      <c r="H65" s="32" t="n">
        <v>-1115.33</v>
      </c>
      <c r="I65" s="32" t="n">
        <v>-1115.33</v>
      </c>
      <c r="J65" s="33" t="n">
        <v>0.1</v>
      </c>
      <c r="K65" s="32" t="n">
        <v>-111.53</v>
      </c>
      <c r="L65" s="12" t="n">
        <f aca="false">ROUND(I65*J65,2)</f>
        <v>-111.53</v>
      </c>
      <c r="M65" s="12" t="n">
        <f aca="false">K65-L65</f>
        <v>0</v>
      </c>
      <c r="N65" s="12" t="n">
        <f aca="false">IF(F65="Promotional Incentive",0,I65)</f>
        <v>-1115.33</v>
      </c>
      <c r="O65" s="12" t="n">
        <f aca="false">IF(F65="Promotional Incentive",0,K65)</f>
        <v>-111.53</v>
      </c>
      <c r="P65" s="11" t="s">
        <v>645</v>
      </c>
      <c r="Q65" s="2"/>
    </row>
    <row r="66" customFormat="false" ht="15" hidden="false" customHeight="false" outlineLevel="0" collapsed="false">
      <c r="A66" s="2" t="s">
        <v>728</v>
      </c>
      <c r="B66" s="2" t="s">
        <v>44</v>
      </c>
      <c r="C66" s="2" t="s">
        <v>47</v>
      </c>
      <c r="D66" s="2" t="s">
        <v>729</v>
      </c>
      <c r="E66" s="2" t="s">
        <v>730</v>
      </c>
      <c r="F66" s="2" t="s">
        <v>732</v>
      </c>
      <c r="G66" s="2" t="s">
        <v>731</v>
      </c>
      <c r="H66" s="32" t="n">
        <v>1115.33</v>
      </c>
      <c r="I66" s="32" t="n">
        <v>1115.33</v>
      </c>
      <c r="J66" s="33" t="n">
        <v>0.1</v>
      </c>
      <c r="K66" s="32" t="n">
        <v>111.53</v>
      </c>
      <c r="L66" s="12" t="n">
        <f aca="false">ROUND(I66*J66,2)</f>
        <v>111.53</v>
      </c>
      <c r="M66" s="12" t="n">
        <f aca="false">K66-L66</f>
        <v>0</v>
      </c>
      <c r="N66" s="12" t="n">
        <f aca="false">IF(F66="Promotional Incentive",0,I66)</f>
        <v>1115.33</v>
      </c>
      <c r="O66" s="12" t="n">
        <f aca="false">IF(F66="Promotional Incentive",0,K66)</f>
        <v>111.53</v>
      </c>
      <c r="P66" s="11" t="s">
        <v>645</v>
      </c>
      <c r="Q66" s="2"/>
    </row>
    <row r="67" customFormat="false" ht="15" hidden="false" customHeight="false" outlineLevel="0" collapsed="false">
      <c r="A67" s="2" t="s">
        <v>728</v>
      </c>
      <c r="B67" s="2" t="s">
        <v>44</v>
      </c>
      <c r="C67" s="2" t="s">
        <v>47</v>
      </c>
      <c r="D67" s="2" t="s">
        <v>729</v>
      </c>
      <c r="E67" s="2" t="s">
        <v>730</v>
      </c>
      <c r="F67" s="2" t="s">
        <v>682</v>
      </c>
      <c r="G67" s="2" t="s">
        <v>731</v>
      </c>
      <c r="H67" s="32" t="n">
        <v>-1115.33</v>
      </c>
      <c r="I67" s="32" t="n">
        <v>-1115.33</v>
      </c>
      <c r="J67" s="33" t="n">
        <v>0.1</v>
      </c>
      <c r="K67" s="32" t="n">
        <v>-111.53</v>
      </c>
      <c r="L67" s="12" t="n">
        <f aca="false">ROUND(I67*J67,2)</f>
        <v>-111.53</v>
      </c>
      <c r="M67" s="12" t="n">
        <f aca="false">K67-L67</f>
        <v>0</v>
      </c>
      <c r="N67" s="12" t="n">
        <f aca="false">IF(F67="Promotional Incentive",0,I67)</f>
        <v>-1115.33</v>
      </c>
      <c r="O67" s="12" t="n">
        <f aca="false">IF(F67="Promotional Incentive",0,K67)</f>
        <v>-111.53</v>
      </c>
      <c r="P67" s="11" t="s">
        <v>645</v>
      </c>
      <c r="Q67" s="2"/>
    </row>
    <row r="68" customFormat="false" ht="15" hidden="false" customHeight="false" outlineLevel="0" collapsed="false">
      <c r="A68" s="2" t="s">
        <v>733</v>
      </c>
      <c r="B68" s="2" t="s">
        <v>44</v>
      </c>
      <c r="C68" s="2" t="s">
        <v>47</v>
      </c>
      <c r="D68" s="2" t="s">
        <v>313</v>
      </c>
      <c r="E68" s="2" t="s">
        <v>734</v>
      </c>
      <c r="F68" s="2" t="s">
        <v>682</v>
      </c>
      <c r="G68" s="2" t="s">
        <v>689</v>
      </c>
      <c r="H68" s="32" t="n">
        <v>-736.55</v>
      </c>
      <c r="I68" s="32" t="n">
        <v>-736.55</v>
      </c>
      <c r="J68" s="33" t="n">
        <v>0.12</v>
      </c>
      <c r="K68" s="32" t="n">
        <v>-88.39</v>
      </c>
      <c r="L68" s="12" t="n">
        <f aca="false">ROUND(I68*J68,2)</f>
        <v>-88.39</v>
      </c>
      <c r="M68" s="12" t="n">
        <f aca="false">K68-L68</f>
        <v>0</v>
      </c>
      <c r="N68" s="12" t="n">
        <f aca="false">IF(F68="Promotional Incentive",0,I68)</f>
        <v>-736.55</v>
      </c>
      <c r="O68" s="12" t="n">
        <f aca="false">IF(F68="Promotional Incentive",0,K68)</f>
        <v>-88.39</v>
      </c>
      <c r="P68" s="11" t="s">
        <v>645</v>
      </c>
      <c r="Q68" s="2"/>
    </row>
    <row r="69" customFormat="false" ht="15" hidden="false" customHeight="false" outlineLevel="0" collapsed="false">
      <c r="A69" s="2" t="s">
        <v>735</v>
      </c>
      <c r="B69" s="2" t="s">
        <v>44</v>
      </c>
      <c r="C69" s="2" t="s">
        <v>47</v>
      </c>
      <c r="D69" s="2" t="s">
        <v>736</v>
      </c>
      <c r="E69" s="2" t="s">
        <v>737</v>
      </c>
      <c r="F69" s="2" t="s">
        <v>732</v>
      </c>
      <c r="G69" s="2" t="s">
        <v>520</v>
      </c>
      <c r="H69" s="32" t="n">
        <v>937.97</v>
      </c>
      <c r="I69" s="32" t="n">
        <v>937.97</v>
      </c>
      <c r="J69" s="33" t="n">
        <v>0.12</v>
      </c>
      <c r="K69" s="32" t="n">
        <v>112.56</v>
      </c>
      <c r="L69" s="12" t="n">
        <f aca="false">ROUND(I69*J69,2)</f>
        <v>112.56</v>
      </c>
      <c r="M69" s="12" t="n">
        <f aca="false">K69-L69</f>
        <v>0</v>
      </c>
      <c r="N69" s="12" t="n">
        <f aca="false">IF(F69="Promotional Incentive",0,I69)</f>
        <v>937.97</v>
      </c>
      <c r="O69" s="12" t="n">
        <f aca="false">IF(F69="Promotional Incentive",0,K69)</f>
        <v>112.56</v>
      </c>
      <c r="P69" s="11" t="s">
        <v>645</v>
      </c>
      <c r="Q69" s="2"/>
    </row>
    <row r="70" customFormat="false" ht="15" hidden="false" customHeight="false" outlineLevel="0" collapsed="false">
      <c r="A70" s="2" t="s">
        <v>735</v>
      </c>
      <c r="B70" s="2" t="s">
        <v>44</v>
      </c>
      <c r="C70" s="2" t="s">
        <v>47</v>
      </c>
      <c r="D70" s="2" t="s">
        <v>736</v>
      </c>
      <c r="E70" s="2" t="s">
        <v>737</v>
      </c>
      <c r="F70" s="2" t="s">
        <v>682</v>
      </c>
      <c r="G70" s="2" t="s">
        <v>520</v>
      </c>
      <c r="H70" s="32" t="n">
        <v>-937.97</v>
      </c>
      <c r="I70" s="32" t="n">
        <v>-937.97</v>
      </c>
      <c r="J70" s="33" t="n">
        <v>0.12</v>
      </c>
      <c r="K70" s="32" t="n">
        <v>-112.56</v>
      </c>
      <c r="L70" s="12" t="n">
        <f aca="false">ROUND(I70*J70,2)</f>
        <v>-112.56</v>
      </c>
      <c r="M70" s="12" t="n">
        <f aca="false">K70-L70</f>
        <v>0</v>
      </c>
      <c r="N70" s="12" t="n">
        <f aca="false">IF(F70="Promotional Incentive",0,I70)</f>
        <v>-937.97</v>
      </c>
      <c r="O70" s="12" t="n">
        <f aca="false">IF(F70="Promotional Incentive",0,K70)</f>
        <v>-112.56</v>
      </c>
      <c r="P70" s="11" t="s">
        <v>645</v>
      </c>
      <c r="Q70" s="2"/>
    </row>
    <row r="71" customFormat="false" ht="15" hidden="false" customHeight="false" outlineLevel="0" collapsed="false">
      <c r="A71" s="2" t="s">
        <v>738</v>
      </c>
      <c r="B71" s="2" t="s">
        <v>44</v>
      </c>
      <c r="C71" s="2" t="s">
        <v>47</v>
      </c>
      <c r="D71" s="2" t="s">
        <v>316</v>
      </c>
      <c r="E71" s="2" t="s">
        <v>739</v>
      </c>
      <c r="F71" s="2" t="s">
        <v>682</v>
      </c>
      <c r="G71" s="2" t="s">
        <v>689</v>
      </c>
      <c r="H71" s="32" t="n">
        <v>-579.3</v>
      </c>
      <c r="I71" s="32" t="n">
        <v>-579.3</v>
      </c>
      <c r="J71" s="33" t="n">
        <v>0.1</v>
      </c>
      <c r="K71" s="32" t="n">
        <v>-57.93</v>
      </c>
      <c r="L71" s="12" t="n">
        <f aca="false">ROUND(I71*J71,2)</f>
        <v>-57.93</v>
      </c>
      <c r="M71" s="12" t="n">
        <f aca="false">K71-L71</f>
        <v>0</v>
      </c>
      <c r="N71" s="12" t="n">
        <f aca="false">IF(F71="Promotional Incentive",0,I71)</f>
        <v>-579.3</v>
      </c>
      <c r="O71" s="12" t="n">
        <f aca="false">IF(F71="Promotional Incentive",0,K71)</f>
        <v>-57.93</v>
      </c>
      <c r="P71" s="11" t="s">
        <v>645</v>
      </c>
      <c r="Q71" s="2"/>
    </row>
    <row r="72" customFormat="false" ht="15" hidden="false" customHeight="false" outlineLevel="0" collapsed="false">
      <c r="A72" s="2" t="s">
        <v>740</v>
      </c>
      <c r="B72" s="2" t="s">
        <v>44</v>
      </c>
      <c r="C72" s="2" t="s">
        <v>47</v>
      </c>
      <c r="D72" s="2" t="s">
        <v>741</v>
      </c>
      <c r="E72" s="2" t="s">
        <v>742</v>
      </c>
      <c r="F72" s="2" t="s">
        <v>597</v>
      </c>
      <c r="G72" s="2" t="s">
        <v>743</v>
      </c>
      <c r="H72" s="32" t="n">
        <v>-3868.1</v>
      </c>
      <c r="I72" s="32" t="n">
        <v>-3868.1</v>
      </c>
      <c r="J72" s="33" t="n">
        <v>0.12</v>
      </c>
      <c r="K72" s="32" t="n">
        <v>-464.17</v>
      </c>
      <c r="L72" s="12" t="n">
        <f aca="false">ROUND(I72*J72,2)</f>
        <v>-464.17</v>
      </c>
      <c r="M72" s="12" t="n">
        <f aca="false">K72-L72</f>
        <v>0</v>
      </c>
      <c r="N72" s="12" t="n">
        <f aca="false">IF(F72="Promotional Incentive",0,I72)</f>
        <v>-3868.1</v>
      </c>
      <c r="O72" s="12" t="n">
        <f aca="false">IF(F72="Promotional Incentive",0,K72)</f>
        <v>-464.17</v>
      </c>
      <c r="P72" s="11" t="s">
        <v>645</v>
      </c>
      <c r="Q72" s="2"/>
    </row>
    <row r="73" customFormat="false" ht="15" hidden="false" customHeight="false" outlineLevel="0" collapsed="false">
      <c r="A73" s="2" t="s">
        <v>740</v>
      </c>
      <c r="B73" s="2" t="s">
        <v>44</v>
      </c>
      <c r="C73" s="2" t="s">
        <v>47</v>
      </c>
      <c r="D73" s="2" t="s">
        <v>741</v>
      </c>
      <c r="E73" s="2" t="s">
        <v>742</v>
      </c>
      <c r="F73" s="2" t="s">
        <v>644</v>
      </c>
      <c r="G73" s="2" t="s">
        <v>744</v>
      </c>
      <c r="H73" s="32" t="n">
        <v>3485.43</v>
      </c>
      <c r="I73" s="32" t="n">
        <v>3485.43</v>
      </c>
      <c r="J73" s="33" t="n">
        <v>0.12</v>
      </c>
      <c r="K73" s="32" t="n">
        <v>418.25</v>
      </c>
      <c r="L73" s="12" t="n">
        <f aca="false">ROUND(I73*J73,2)</f>
        <v>418.25</v>
      </c>
      <c r="M73" s="12" t="n">
        <f aca="false">K73-L73</f>
        <v>0</v>
      </c>
      <c r="N73" s="12" t="n">
        <f aca="false">IF(F73="Promotional Incentive",0,I73)</f>
        <v>3485.43</v>
      </c>
      <c r="O73" s="12" t="n">
        <f aca="false">IF(F73="Promotional Incentive",0,K73)</f>
        <v>418.25</v>
      </c>
      <c r="P73" s="11" t="s">
        <v>645</v>
      </c>
      <c r="Q73" s="2"/>
    </row>
    <row r="74" customFormat="false" ht="15" hidden="false" customHeight="false" outlineLevel="0" collapsed="false">
      <c r="A74" s="2" t="s">
        <v>740</v>
      </c>
      <c r="B74" s="2" t="s">
        <v>44</v>
      </c>
      <c r="C74" s="2" t="s">
        <v>47</v>
      </c>
      <c r="D74" s="2" t="s">
        <v>741</v>
      </c>
      <c r="E74" s="2" t="s">
        <v>742</v>
      </c>
      <c r="F74" s="2" t="s">
        <v>644</v>
      </c>
      <c r="G74" s="2" t="s">
        <v>745</v>
      </c>
      <c r="H74" s="32" t="n">
        <v>0</v>
      </c>
      <c r="I74" s="32" t="n">
        <v>0</v>
      </c>
      <c r="J74" s="33" t="n">
        <v>0.12</v>
      </c>
      <c r="K74" s="32" t="n">
        <v>0</v>
      </c>
      <c r="L74" s="12" t="n">
        <f aca="false">ROUND(I74*J74,2)</f>
        <v>0</v>
      </c>
      <c r="M74" s="12" t="n">
        <f aca="false">K74-L74</f>
        <v>0</v>
      </c>
      <c r="N74" s="12" t="n">
        <f aca="false">IF(F74="Promotional Incentive",0,I74)</f>
        <v>0</v>
      </c>
      <c r="O74" s="12" t="n">
        <f aca="false">IF(F74="Promotional Incentive",0,K74)</f>
        <v>0</v>
      </c>
      <c r="P74" s="11" t="s">
        <v>645</v>
      </c>
      <c r="Q74" s="2"/>
    </row>
    <row r="75" customFormat="false" ht="15" hidden="false" customHeight="false" outlineLevel="0" collapsed="false">
      <c r="A75" s="2" t="s">
        <v>740</v>
      </c>
      <c r="B75" s="2" t="s">
        <v>44</v>
      </c>
      <c r="C75" s="2" t="s">
        <v>47</v>
      </c>
      <c r="D75" s="2" t="s">
        <v>741</v>
      </c>
      <c r="E75" s="2" t="s">
        <v>742</v>
      </c>
      <c r="F75" s="2" t="s">
        <v>597</v>
      </c>
      <c r="G75" s="2" t="s">
        <v>506</v>
      </c>
      <c r="H75" s="32" t="n">
        <v>-43.61</v>
      </c>
      <c r="I75" s="32" t="n">
        <v>-43.61</v>
      </c>
      <c r="J75" s="33" t="n">
        <v>0.12</v>
      </c>
      <c r="K75" s="32" t="n">
        <v>-5.23</v>
      </c>
      <c r="L75" s="12" t="n">
        <f aca="false">ROUND(I75*J75,2)</f>
        <v>-5.23</v>
      </c>
      <c r="M75" s="12" t="n">
        <f aca="false">K75-L75</f>
        <v>0</v>
      </c>
      <c r="N75" s="12" t="n">
        <f aca="false">IF(F75="Promotional Incentive",0,I75)</f>
        <v>-43.61</v>
      </c>
      <c r="O75" s="12" t="n">
        <f aca="false">IF(F75="Promotional Incentive",0,K75)</f>
        <v>-5.23</v>
      </c>
      <c r="P75" s="11" t="s">
        <v>645</v>
      </c>
      <c r="Q75" s="2"/>
    </row>
    <row r="76" customFormat="false" ht="15" hidden="false" customHeight="false" outlineLevel="0" collapsed="false">
      <c r="A76" s="2" t="s">
        <v>740</v>
      </c>
      <c r="B76" s="2" t="s">
        <v>44</v>
      </c>
      <c r="C76" s="2" t="s">
        <v>47</v>
      </c>
      <c r="D76" s="2" t="s">
        <v>741</v>
      </c>
      <c r="E76" s="2" t="s">
        <v>746</v>
      </c>
      <c r="F76" s="2" t="s">
        <v>682</v>
      </c>
      <c r="G76" s="2" t="s">
        <v>747</v>
      </c>
      <c r="H76" s="32" t="n">
        <v>-1826.16</v>
      </c>
      <c r="I76" s="32" t="n">
        <v>-1826.16</v>
      </c>
      <c r="J76" s="33" t="n">
        <v>0.12</v>
      </c>
      <c r="K76" s="32" t="n">
        <v>-219.14</v>
      </c>
      <c r="L76" s="12" t="n">
        <f aca="false">ROUND(I76*J76,2)</f>
        <v>-219.14</v>
      </c>
      <c r="M76" s="12" t="n">
        <f aca="false">K76-L76</f>
        <v>0</v>
      </c>
      <c r="N76" s="12" t="n">
        <f aca="false">IF(F76="Promotional Incentive",0,I76)</f>
        <v>-1826.16</v>
      </c>
      <c r="O76" s="12" t="n">
        <f aca="false">IF(F76="Promotional Incentive",0,K76)</f>
        <v>-219.14</v>
      </c>
      <c r="P76" s="11" t="s">
        <v>645</v>
      </c>
      <c r="Q76" s="2"/>
    </row>
    <row r="77" customFormat="false" ht="15" hidden="false" customHeight="false" outlineLevel="0" collapsed="false">
      <c r="A77" s="2" t="s">
        <v>740</v>
      </c>
      <c r="B77" s="2" t="s">
        <v>44</v>
      </c>
      <c r="C77" s="2" t="s">
        <v>47</v>
      </c>
      <c r="D77" s="2" t="s">
        <v>741</v>
      </c>
      <c r="E77" s="2" t="s">
        <v>746</v>
      </c>
      <c r="F77" s="2" t="s">
        <v>732</v>
      </c>
      <c r="G77" s="2" t="s">
        <v>747</v>
      </c>
      <c r="H77" s="32" t="n">
        <v>1826.16</v>
      </c>
      <c r="I77" s="32" t="n">
        <v>1826.16</v>
      </c>
      <c r="J77" s="33" t="n">
        <v>0.12</v>
      </c>
      <c r="K77" s="32" t="n">
        <v>219.14</v>
      </c>
      <c r="L77" s="12" t="n">
        <f aca="false">ROUND(I77*J77,2)</f>
        <v>219.14</v>
      </c>
      <c r="M77" s="12" t="n">
        <f aca="false">K77-L77</f>
        <v>0</v>
      </c>
      <c r="N77" s="12" t="n">
        <f aca="false">IF(F77="Promotional Incentive",0,I77)</f>
        <v>1826.16</v>
      </c>
      <c r="O77" s="12" t="n">
        <f aca="false">IF(F77="Promotional Incentive",0,K77)</f>
        <v>219.14</v>
      </c>
      <c r="P77" s="11" t="s">
        <v>645</v>
      </c>
      <c r="Q77" s="2"/>
    </row>
    <row r="78" customFormat="false" ht="15" hidden="false" customHeight="false" outlineLevel="0" collapsed="false">
      <c r="A78" s="2" t="s">
        <v>748</v>
      </c>
      <c r="B78" s="2" t="s">
        <v>44</v>
      </c>
      <c r="C78" s="2" t="s">
        <v>47</v>
      </c>
      <c r="D78" s="2" t="s">
        <v>319</v>
      </c>
      <c r="E78" s="2" t="s">
        <v>749</v>
      </c>
      <c r="F78" s="2" t="s">
        <v>644</v>
      </c>
      <c r="G78" s="2" t="s">
        <v>722</v>
      </c>
      <c r="H78" s="32" t="n">
        <v>100.14</v>
      </c>
      <c r="I78" s="32" t="n">
        <v>100.14</v>
      </c>
      <c r="J78" s="33" t="n">
        <v>0.1</v>
      </c>
      <c r="K78" s="32" t="n">
        <v>10.01</v>
      </c>
      <c r="L78" s="12" t="n">
        <f aca="false">ROUND(I78*J78,2)</f>
        <v>10.01</v>
      </c>
      <c r="M78" s="12" t="n">
        <f aca="false">K78-L78</f>
        <v>0</v>
      </c>
      <c r="N78" s="12" t="n">
        <f aca="false">IF(F78="Promotional Incentive",0,I78)</f>
        <v>100.14</v>
      </c>
      <c r="O78" s="12" t="n">
        <f aca="false">IF(F78="Promotional Incentive",0,K78)</f>
        <v>10.01</v>
      </c>
      <c r="P78" s="11" t="s">
        <v>645</v>
      </c>
      <c r="Q78" s="2"/>
    </row>
    <row r="79" customFormat="false" ht="15" hidden="false" customHeight="false" outlineLevel="0" collapsed="false">
      <c r="A79" s="2" t="s">
        <v>748</v>
      </c>
      <c r="B79" s="2" t="s">
        <v>44</v>
      </c>
      <c r="C79" s="2" t="s">
        <v>47</v>
      </c>
      <c r="D79" s="2" t="s">
        <v>319</v>
      </c>
      <c r="E79" s="2" t="s">
        <v>749</v>
      </c>
      <c r="F79" s="2" t="s">
        <v>682</v>
      </c>
      <c r="G79" s="2" t="s">
        <v>750</v>
      </c>
      <c r="H79" s="32" t="n">
        <v>-1413.68</v>
      </c>
      <c r="I79" s="32" t="n">
        <v>-1413.68</v>
      </c>
      <c r="J79" s="33" t="n">
        <v>0.1</v>
      </c>
      <c r="K79" s="32" t="n">
        <v>-141.37</v>
      </c>
      <c r="L79" s="12" t="n">
        <f aca="false">ROUND(I79*J79,2)</f>
        <v>-141.37</v>
      </c>
      <c r="M79" s="12" t="n">
        <f aca="false">K79-L79</f>
        <v>0</v>
      </c>
      <c r="N79" s="12" t="n">
        <f aca="false">IF(F79="Promotional Incentive",0,I79)</f>
        <v>-1413.68</v>
      </c>
      <c r="O79" s="12" t="n">
        <f aca="false">IF(F79="Promotional Incentive",0,K79)</f>
        <v>-141.37</v>
      </c>
      <c r="P79" s="11" t="s">
        <v>645</v>
      </c>
      <c r="Q79" s="2"/>
    </row>
    <row r="80" customFormat="false" ht="15" hidden="false" customHeight="false" outlineLevel="0" collapsed="false">
      <c r="A80" s="2" t="s">
        <v>751</v>
      </c>
      <c r="B80" s="2" t="s">
        <v>44</v>
      </c>
      <c r="C80" s="2" t="s">
        <v>47</v>
      </c>
      <c r="D80" s="2" t="s">
        <v>752</v>
      </c>
      <c r="E80" s="2" t="s">
        <v>753</v>
      </c>
      <c r="F80" s="2" t="s">
        <v>597</v>
      </c>
      <c r="G80" s="2" t="s">
        <v>506</v>
      </c>
      <c r="H80" s="32" t="n">
        <v>-108.21</v>
      </c>
      <c r="I80" s="32" t="n">
        <v>-108.21</v>
      </c>
      <c r="J80" s="33" t="n">
        <v>0.12</v>
      </c>
      <c r="K80" s="32" t="n">
        <v>-12.99</v>
      </c>
      <c r="L80" s="12" t="n">
        <f aca="false">ROUND(I80*J80,2)</f>
        <v>-12.99</v>
      </c>
      <c r="M80" s="12" t="n">
        <f aca="false">K80-L80</f>
        <v>0</v>
      </c>
      <c r="N80" s="12" t="n">
        <f aca="false">IF(F80="Promotional Incentive",0,I80)</f>
        <v>-108.21</v>
      </c>
      <c r="O80" s="12" t="n">
        <f aca="false">IF(F80="Promotional Incentive",0,K80)</f>
        <v>-12.99</v>
      </c>
      <c r="P80" s="11" t="s">
        <v>645</v>
      </c>
      <c r="Q80" s="2"/>
    </row>
    <row r="81" customFormat="false" ht="15" hidden="false" customHeight="false" outlineLevel="0" collapsed="false">
      <c r="A81" s="2" t="s">
        <v>754</v>
      </c>
      <c r="B81" s="2" t="s">
        <v>44</v>
      </c>
      <c r="C81" s="2" t="s">
        <v>47</v>
      </c>
      <c r="D81" s="2" t="s">
        <v>755</v>
      </c>
      <c r="E81" s="2" t="s">
        <v>756</v>
      </c>
      <c r="F81" s="2" t="s">
        <v>682</v>
      </c>
      <c r="G81" s="2" t="s">
        <v>689</v>
      </c>
      <c r="H81" s="32" t="n">
        <v>-1684.68</v>
      </c>
      <c r="I81" s="32" t="n">
        <v>-1684.68</v>
      </c>
      <c r="J81" s="33" t="n">
        <v>0.12</v>
      </c>
      <c r="K81" s="32" t="n">
        <v>-202.16</v>
      </c>
      <c r="L81" s="12" t="n">
        <f aca="false">ROUND(I81*J81,2)</f>
        <v>-202.16</v>
      </c>
      <c r="M81" s="12" t="n">
        <f aca="false">K81-L81</f>
        <v>0</v>
      </c>
      <c r="N81" s="12" t="n">
        <f aca="false">IF(F81="Promotional Incentive",0,I81)</f>
        <v>-1684.68</v>
      </c>
      <c r="O81" s="12" t="n">
        <f aca="false">IF(F81="Promotional Incentive",0,K81)</f>
        <v>-202.16</v>
      </c>
      <c r="P81" s="11" t="s">
        <v>645</v>
      </c>
      <c r="Q81" s="2"/>
    </row>
    <row r="82" customFormat="false" ht="15" hidden="false" customHeight="false" outlineLevel="0" collapsed="false">
      <c r="A82" s="2" t="s">
        <v>757</v>
      </c>
      <c r="B82" s="2" t="s">
        <v>44</v>
      </c>
      <c r="C82" s="2" t="s">
        <v>47</v>
      </c>
      <c r="D82" s="2" t="s">
        <v>758</v>
      </c>
      <c r="E82" s="2" t="s">
        <v>759</v>
      </c>
      <c r="F82" s="2" t="s">
        <v>644</v>
      </c>
      <c r="G82" s="2" t="s">
        <v>760</v>
      </c>
      <c r="H82" s="32" t="n">
        <v>49.22</v>
      </c>
      <c r="I82" s="32" t="n">
        <v>49.22</v>
      </c>
      <c r="J82" s="33" t="n">
        <v>0.14</v>
      </c>
      <c r="K82" s="32" t="n">
        <v>6.89</v>
      </c>
      <c r="L82" s="12" t="n">
        <f aca="false">ROUND(I82*J82,2)</f>
        <v>6.89</v>
      </c>
      <c r="M82" s="12" t="n">
        <f aca="false">K82-L82</f>
        <v>0</v>
      </c>
      <c r="N82" s="12" t="n">
        <f aca="false">IF(F82="Promotional Incentive",0,I82)</f>
        <v>49.22</v>
      </c>
      <c r="O82" s="12" t="n">
        <f aca="false">IF(F82="Promotional Incentive",0,K82)</f>
        <v>6.89</v>
      </c>
      <c r="P82" s="11" t="s">
        <v>645</v>
      </c>
      <c r="Q82" s="2"/>
    </row>
    <row r="83" customFormat="false" ht="15" hidden="false" customHeight="false" outlineLevel="0" collapsed="false">
      <c r="A83" s="2" t="s">
        <v>761</v>
      </c>
      <c r="B83" s="2" t="s">
        <v>44</v>
      </c>
      <c r="C83" s="2" t="s">
        <v>47</v>
      </c>
      <c r="D83" s="2" t="s">
        <v>762</v>
      </c>
      <c r="E83" s="2" t="s">
        <v>763</v>
      </c>
      <c r="F83" s="2" t="s">
        <v>644</v>
      </c>
      <c r="G83" s="2" t="s">
        <v>764</v>
      </c>
      <c r="H83" s="32" t="n">
        <v>38</v>
      </c>
      <c r="I83" s="32" t="n">
        <v>38</v>
      </c>
      <c r="J83" s="33" t="n">
        <v>0.1</v>
      </c>
      <c r="K83" s="32" t="n">
        <v>3.8</v>
      </c>
      <c r="L83" s="12" t="n">
        <f aca="false">ROUND(I83*J83,2)</f>
        <v>3.8</v>
      </c>
      <c r="M83" s="12" t="n">
        <f aca="false">K83-L83</f>
        <v>0</v>
      </c>
      <c r="N83" s="12" t="n">
        <f aca="false">IF(F83="Promotional Incentive",0,I83)</f>
        <v>38</v>
      </c>
      <c r="O83" s="12" t="n">
        <f aca="false">IF(F83="Promotional Incentive",0,K83)</f>
        <v>3.8</v>
      </c>
      <c r="P83" s="11" t="s">
        <v>645</v>
      </c>
      <c r="Q83" s="2"/>
    </row>
    <row r="84" customFormat="false" ht="15" hidden="false" customHeight="false" outlineLevel="0" collapsed="false">
      <c r="A84" s="2" t="s">
        <v>761</v>
      </c>
      <c r="B84" s="2" t="s">
        <v>44</v>
      </c>
      <c r="C84" s="2" t="s">
        <v>47</v>
      </c>
      <c r="D84" s="2" t="s">
        <v>762</v>
      </c>
      <c r="E84" s="2" t="s">
        <v>763</v>
      </c>
      <c r="F84" s="2" t="s">
        <v>644</v>
      </c>
      <c r="G84" s="2" t="s">
        <v>765</v>
      </c>
      <c r="H84" s="32" t="n">
        <v>4.52</v>
      </c>
      <c r="I84" s="32" t="n">
        <v>4.52</v>
      </c>
      <c r="J84" s="33" t="n">
        <v>0.1</v>
      </c>
      <c r="K84" s="32" t="n">
        <v>0.45</v>
      </c>
      <c r="L84" s="12" t="n">
        <f aca="false">ROUND(I84*J84,2)</f>
        <v>0.45</v>
      </c>
      <c r="M84" s="12" t="n">
        <f aca="false">K84-L84</f>
        <v>0</v>
      </c>
      <c r="N84" s="12" t="n">
        <f aca="false">IF(F84="Promotional Incentive",0,I84)</f>
        <v>4.52</v>
      </c>
      <c r="O84" s="12" t="n">
        <f aca="false">IF(F84="Promotional Incentive",0,K84)</f>
        <v>0.45</v>
      </c>
      <c r="P84" s="11" t="s">
        <v>645</v>
      </c>
      <c r="Q84" s="2"/>
    </row>
    <row r="85" customFormat="false" ht="15" hidden="false" customHeight="false" outlineLevel="0" collapsed="false">
      <c r="A85" s="2" t="s">
        <v>766</v>
      </c>
      <c r="B85" s="2" t="s">
        <v>44</v>
      </c>
      <c r="C85" s="2" t="s">
        <v>47</v>
      </c>
      <c r="D85" s="2" t="s">
        <v>767</v>
      </c>
      <c r="E85" s="2" t="s">
        <v>768</v>
      </c>
      <c r="F85" s="2" t="s">
        <v>644</v>
      </c>
      <c r="G85" s="2" t="s">
        <v>769</v>
      </c>
      <c r="H85" s="32" t="n">
        <v>219.93</v>
      </c>
      <c r="I85" s="32" t="n">
        <v>219.93</v>
      </c>
      <c r="J85" s="33" t="n">
        <v>0.1</v>
      </c>
      <c r="K85" s="32" t="n">
        <v>21.99</v>
      </c>
      <c r="L85" s="12" t="n">
        <f aca="false">ROUND(I85*J85,2)</f>
        <v>21.99</v>
      </c>
      <c r="M85" s="12" t="n">
        <f aca="false">K85-L85</f>
        <v>0</v>
      </c>
      <c r="N85" s="12" t="n">
        <f aca="false">IF(F85="Promotional Incentive",0,I85)</f>
        <v>219.93</v>
      </c>
      <c r="O85" s="12" t="n">
        <f aca="false">IF(F85="Promotional Incentive",0,K85)</f>
        <v>21.99</v>
      </c>
      <c r="P85" s="11" t="s">
        <v>645</v>
      </c>
      <c r="Q85" s="2"/>
    </row>
    <row r="86" customFormat="false" ht="15" hidden="false" customHeight="false" outlineLevel="0" collapsed="false">
      <c r="A86" s="2" t="s">
        <v>770</v>
      </c>
      <c r="B86" s="2" t="s">
        <v>44</v>
      </c>
      <c r="C86" s="2" t="s">
        <v>47</v>
      </c>
      <c r="D86" s="2" t="s">
        <v>771</v>
      </c>
      <c r="E86" s="2" t="s">
        <v>772</v>
      </c>
      <c r="F86" s="2" t="s">
        <v>644</v>
      </c>
      <c r="G86" s="2" t="s">
        <v>722</v>
      </c>
      <c r="H86" s="32" t="n">
        <v>76.89</v>
      </c>
      <c r="I86" s="32" t="n">
        <v>76.89</v>
      </c>
      <c r="J86" s="33" t="n">
        <v>0.1</v>
      </c>
      <c r="K86" s="32" t="n">
        <v>7.69</v>
      </c>
      <c r="L86" s="12" t="n">
        <f aca="false">ROUND(I86*J86,2)</f>
        <v>7.69</v>
      </c>
      <c r="M86" s="12" t="n">
        <f aca="false">K86-L86</f>
        <v>0</v>
      </c>
      <c r="N86" s="12" t="n">
        <f aca="false">IF(F86="Promotional Incentive",0,I86)</f>
        <v>76.89</v>
      </c>
      <c r="O86" s="12" t="n">
        <f aca="false">IF(F86="Promotional Incentive",0,K86)</f>
        <v>7.69</v>
      </c>
      <c r="P86" s="11" t="s">
        <v>645</v>
      </c>
      <c r="Q86" s="2"/>
    </row>
    <row r="87" customFormat="false" ht="15" hidden="false" customHeight="false" outlineLevel="0" collapsed="false">
      <c r="A87" s="2" t="s">
        <v>773</v>
      </c>
      <c r="B87" s="2" t="s">
        <v>44</v>
      </c>
      <c r="C87" s="2" t="s">
        <v>47</v>
      </c>
      <c r="D87" s="2" t="s">
        <v>322</v>
      </c>
      <c r="E87" s="2" t="s">
        <v>774</v>
      </c>
      <c r="F87" s="2" t="s">
        <v>597</v>
      </c>
      <c r="G87" s="2" t="s">
        <v>604</v>
      </c>
      <c r="H87" s="32" t="n">
        <v>-33.64</v>
      </c>
      <c r="I87" s="32" t="n">
        <v>-33.64</v>
      </c>
      <c r="J87" s="33" t="n">
        <v>0.14</v>
      </c>
      <c r="K87" s="32" t="n">
        <v>-4.71</v>
      </c>
      <c r="L87" s="12" t="n">
        <f aca="false">ROUND(I87*J87,2)</f>
        <v>-4.71</v>
      </c>
      <c r="M87" s="12" t="n">
        <f aca="false">K87-L87</f>
        <v>0</v>
      </c>
      <c r="N87" s="12" t="n">
        <f aca="false">IF(F87="Promotional Incentive",0,I87)</f>
        <v>-33.64</v>
      </c>
      <c r="O87" s="12" t="n">
        <f aca="false">IF(F87="Promotional Incentive",0,K87)</f>
        <v>-4.71</v>
      </c>
      <c r="P87" s="11" t="s">
        <v>645</v>
      </c>
      <c r="Q87" s="2"/>
    </row>
    <row r="88" customFormat="false" ht="15" hidden="false" customHeight="false" outlineLevel="0" collapsed="false">
      <c r="A88" s="2" t="s">
        <v>775</v>
      </c>
      <c r="B88" s="2" t="s">
        <v>44</v>
      </c>
      <c r="C88" s="2" t="s">
        <v>47</v>
      </c>
      <c r="D88" s="2" t="s">
        <v>776</v>
      </c>
      <c r="E88" s="2" t="s">
        <v>777</v>
      </c>
      <c r="F88" s="2" t="s">
        <v>644</v>
      </c>
      <c r="G88" s="2" t="s">
        <v>778</v>
      </c>
      <c r="H88" s="32" t="n">
        <v>81</v>
      </c>
      <c r="I88" s="32" t="n">
        <v>81</v>
      </c>
      <c r="J88" s="33" t="n">
        <v>0.12</v>
      </c>
      <c r="K88" s="32" t="n">
        <v>9.72</v>
      </c>
      <c r="L88" s="12" t="n">
        <f aca="false">ROUND(I88*J88,2)</f>
        <v>9.72</v>
      </c>
      <c r="M88" s="12" t="n">
        <f aca="false">K88-L88</f>
        <v>0</v>
      </c>
      <c r="N88" s="12" t="n">
        <f aca="false">IF(F88="Promotional Incentive",0,I88)</f>
        <v>81</v>
      </c>
      <c r="O88" s="12" t="n">
        <f aca="false">IF(F88="Promotional Incentive",0,K88)</f>
        <v>9.72</v>
      </c>
      <c r="P88" s="11" t="s">
        <v>645</v>
      </c>
      <c r="Q88" s="2"/>
    </row>
    <row r="89" customFormat="false" ht="15" hidden="false" customHeight="false" outlineLevel="0" collapsed="false">
      <c r="A89" s="2" t="s">
        <v>775</v>
      </c>
      <c r="B89" s="2" t="s">
        <v>44</v>
      </c>
      <c r="C89" s="2" t="s">
        <v>47</v>
      </c>
      <c r="D89" s="2" t="s">
        <v>776</v>
      </c>
      <c r="E89" s="2" t="s">
        <v>777</v>
      </c>
      <c r="F89" s="2" t="s">
        <v>644</v>
      </c>
      <c r="G89" s="2" t="s">
        <v>624</v>
      </c>
      <c r="H89" s="32" t="n">
        <v>201.33</v>
      </c>
      <c r="I89" s="32" t="n">
        <v>201.33</v>
      </c>
      <c r="J89" s="33" t="n">
        <v>0.12</v>
      </c>
      <c r="K89" s="32" t="n">
        <v>24.16</v>
      </c>
      <c r="L89" s="12" t="n">
        <f aca="false">ROUND(I89*J89,2)</f>
        <v>24.16</v>
      </c>
      <c r="M89" s="12" t="n">
        <f aca="false">K89-L89</f>
        <v>0</v>
      </c>
      <c r="N89" s="12" t="n">
        <f aca="false">IF(F89="Promotional Incentive",0,I89)</f>
        <v>201.33</v>
      </c>
      <c r="O89" s="12" t="n">
        <f aca="false">IF(F89="Promotional Incentive",0,K89)</f>
        <v>24.16</v>
      </c>
      <c r="P89" s="11" t="s">
        <v>645</v>
      </c>
      <c r="Q89" s="2"/>
    </row>
    <row r="90" customFormat="false" ht="15" hidden="false" customHeight="false" outlineLevel="0" collapsed="false">
      <c r="A90" s="2" t="s">
        <v>775</v>
      </c>
      <c r="B90" s="2" t="s">
        <v>44</v>
      </c>
      <c r="C90" s="2" t="s">
        <v>47</v>
      </c>
      <c r="D90" s="2" t="s">
        <v>776</v>
      </c>
      <c r="E90" s="2" t="s">
        <v>777</v>
      </c>
      <c r="F90" s="2" t="s">
        <v>644</v>
      </c>
      <c r="G90" s="2" t="s">
        <v>624</v>
      </c>
      <c r="H90" s="32" t="n">
        <v>10.54</v>
      </c>
      <c r="I90" s="32" t="n">
        <v>10.54</v>
      </c>
      <c r="J90" s="33" t="n">
        <v>0.12</v>
      </c>
      <c r="K90" s="32" t="n">
        <v>1.26</v>
      </c>
      <c r="L90" s="12" t="n">
        <f aca="false">ROUND(I90*J90,2)</f>
        <v>1.26</v>
      </c>
      <c r="M90" s="12" t="n">
        <f aca="false">K90-L90</f>
        <v>0</v>
      </c>
      <c r="N90" s="12" t="n">
        <f aca="false">IF(F90="Promotional Incentive",0,I90)</f>
        <v>10.54</v>
      </c>
      <c r="O90" s="12" t="n">
        <f aca="false">IF(F90="Promotional Incentive",0,K90)</f>
        <v>1.26</v>
      </c>
      <c r="P90" s="11" t="s">
        <v>645</v>
      </c>
      <c r="Q90" s="2"/>
    </row>
    <row r="91" customFormat="false" ht="15" hidden="false" customHeight="false" outlineLevel="0" collapsed="false">
      <c r="A91" s="2" t="s">
        <v>779</v>
      </c>
      <c r="B91" s="2" t="s">
        <v>44</v>
      </c>
      <c r="C91" s="2" t="s">
        <v>47</v>
      </c>
      <c r="D91" s="2" t="s">
        <v>780</v>
      </c>
      <c r="E91" s="2" t="s">
        <v>781</v>
      </c>
      <c r="F91" s="2" t="s">
        <v>644</v>
      </c>
      <c r="G91" s="2" t="s">
        <v>604</v>
      </c>
      <c r="H91" s="32" t="n">
        <v>129.85</v>
      </c>
      <c r="I91" s="32" t="n">
        <v>129.85</v>
      </c>
      <c r="J91" s="33" t="n">
        <v>0.1</v>
      </c>
      <c r="K91" s="32" t="n">
        <v>12.99</v>
      </c>
      <c r="L91" s="12" t="n">
        <f aca="false">ROUND(I91*J91,2)</f>
        <v>12.99</v>
      </c>
      <c r="M91" s="12" t="n">
        <f aca="false">K91-L91</f>
        <v>0</v>
      </c>
      <c r="N91" s="12" t="n">
        <f aca="false">IF(F91="Promotional Incentive",0,I91)</f>
        <v>129.85</v>
      </c>
      <c r="O91" s="12" t="n">
        <f aca="false">IF(F91="Promotional Incentive",0,K91)</f>
        <v>12.99</v>
      </c>
      <c r="P91" s="11" t="s">
        <v>645</v>
      </c>
      <c r="Q91" s="2"/>
    </row>
    <row r="92" customFormat="false" ht="15" hidden="false" customHeight="false" outlineLevel="0" collapsed="false">
      <c r="A92" s="2" t="s">
        <v>782</v>
      </c>
      <c r="B92" s="2" t="s">
        <v>44</v>
      </c>
      <c r="C92" s="2" t="s">
        <v>47</v>
      </c>
      <c r="D92" s="2" t="s">
        <v>783</v>
      </c>
      <c r="E92" s="2" t="s">
        <v>784</v>
      </c>
      <c r="F92" s="2" t="s">
        <v>644</v>
      </c>
      <c r="G92" s="2" t="s">
        <v>785</v>
      </c>
      <c r="H92" s="32" t="n">
        <v>179</v>
      </c>
      <c r="I92" s="32" t="n">
        <v>179</v>
      </c>
      <c r="J92" s="33" t="n">
        <v>0.1</v>
      </c>
      <c r="K92" s="32" t="n">
        <v>17.9</v>
      </c>
      <c r="L92" s="12" t="n">
        <f aca="false">ROUND(I92*J92,2)</f>
        <v>17.9</v>
      </c>
      <c r="M92" s="12" t="n">
        <f aca="false">K92-L92</f>
        <v>0</v>
      </c>
      <c r="N92" s="12" t="n">
        <f aca="false">IF(F92="Promotional Incentive",0,I92)</f>
        <v>179</v>
      </c>
      <c r="O92" s="12" t="n">
        <f aca="false">IF(F92="Promotional Incentive",0,K92)</f>
        <v>17.9</v>
      </c>
      <c r="P92" s="11" t="s">
        <v>645</v>
      </c>
      <c r="Q92" s="2"/>
    </row>
    <row r="93" customFormat="false" ht="15" hidden="false" customHeight="false" outlineLevel="0" collapsed="false">
      <c r="A93" s="2" t="s">
        <v>782</v>
      </c>
      <c r="B93" s="2" t="s">
        <v>44</v>
      </c>
      <c r="C93" s="2" t="s">
        <v>47</v>
      </c>
      <c r="D93" s="2" t="s">
        <v>783</v>
      </c>
      <c r="E93" s="2" t="s">
        <v>784</v>
      </c>
      <c r="F93" s="2" t="s">
        <v>644</v>
      </c>
      <c r="G93" s="2" t="s">
        <v>785</v>
      </c>
      <c r="H93" s="32" t="n">
        <v>56</v>
      </c>
      <c r="I93" s="32" t="n">
        <v>56</v>
      </c>
      <c r="J93" s="33" t="n">
        <v>0.1</v>
      </c>
      <c r="K93" s="32" t="n">
        <v>5.6</v>
      </c>
      <c r="L93" s="12" t="n">
        <f aca="false">ROUND(I93*J93,2)</f>
        <v>5.6</v>
      </c>
      <c r="M93" s="12" t="n">
        <f aca="false">K93-L93</f>
        <v>0</v>
      </c>
      <c r="N93" s="12" t="n">
        <f aca="false">IF(F93="Promotional Incentive",0,I93)</f>
        <v>56</v>
      </c>
      <c r="O93" s="12" t="n">
        <f aca="false">IF(F93="Promotional Incentive",0,K93)</f>
        <v>5.6</v>
      </c>
      <c r="P93" s="11" t="s">
        <v>645</v>
      </c>
      <c r="Q93" s="2"/>
    </row>
    <row r="94" customFormat="false" ht="15" hidden="false" customHeight="false" outlineLevel="0" collapsed="false">
      <c r="A94" s="2" t="s">
        <v>782</v>
      </c>
      <c r="B94" s="2" t="s">
        <v>44</v>
      </c>
      <c r="C94" s="2" t="s">
        <v>47</v>
      </c>
      <c r="D94" s="2" t="s">
        <v>783</v>
      </c>
      <c r="E94" s="2" t="s">
        <v>784</v>
      </c>
      <c r="F94" s="2" t="s">
        <v>597</v>
      </c>
      <c r="G94" s="2" t="s">
        <v>689</v>
      </c>
      <c r="H94" s="32" t="n">
        <v>-8.59</v>
      </c>
      <c r="I94" s="32" t="n">
        <v>-8.59</v>
      </c>
      <c r="J94" s="33" t="n">
        <v>0.1</v>
      </c>
      <c r="K94" s="32" t="n">
        <v>-0.86</v>
      </c>
      <c r="L94" s="12" t="n">
        <f aca="false">ROUND(I94*J94,2)</f>
        <v>-0.86</v>
      </c>
      <c r="M94" s="12" t="n">
        <f aca="false">K94-L94</f>
        <v>0</v>
      </c>
      <c r="N94" s="12" t="n">
        <f aca="false">IF(F94="Promotional Incentive",0,I94)</f>
        <v>-8.59</v>
      </c>
      <c r="O94" s="12" t="n">
        <f aca="false">IF(F94="Promotional Incentive",0,K94)</f>
        <v>-0.86</v>
      </c>
      <c r="P94" s="11" t="s">
        <v>645</v>
      </c>
      <c r="Q94" s="2"/>
    </row>
    <row r="95" customFormat="false" ht="15" hidden="false" customHeight="false" outlineLevel="0" collapsed="false">
      <c r="A95" s="2" t="s">
        <v>786</v>
      </c>
      <c r="B95" s="2" t="s">
        <v>44</v>
      </c>
      <c r="C95" s="2" t="s">
        <v>47</v>
      </c>
      <c r="D95" s="2" t="s">
        <v>787</v>
      </c>
      <c r="E95" s="2" t="s">
        <v>788</v>
      </c>
      <c r="F95" s="2" t="s">
        <v>644</v>
      </c>
      <c r="G95" s="2" t="s">
        <v>630</v>
      </c>
      <c r="H95" s="32" t="n">
        <v>138.55</v>
      </c>
      <c r="I95" s="32" t="n">
        <v>138.55</v>
      </c>
      <c r="J95" s="33" t="n">
        <v>0.1</v>
      </c>
      <c r="K95" s="32" t="n">
        <v>13.86</v>
      </c>
      <c r="L95" s="12" t="n">
        <f aca="false">ROUND(I95*J95,2)</f>
        <v>13.86</v>
      </c>
      <c r="M95" s="12" t="n">
        <f aca="false">K95-L95</f>
        <v>0</v>
      </c>
      <c r="N95" s="12" t="n">
        <f aca="false">IF(F95="Promotional Incentive",0,I95)</f>
        <v>138.55</v>
      </c>
      <c r="O95" s="12" t="n">
        <f aca="false">IF(F95="Promotional Incentive",0,K95)</f>
        <v>13.86</v>
      </c>
      <c r="P95" s="11" t="s">
        <v>645</v>
      </c>
      <c r="Q95" s="2"/>
    </row>
    <row r="96" customFormat="false" ht="15" hidden="false" customHeight="false" outlineLevel="0" collapsed="false">
      <c r="A96" s="2" t="s">
        <v>786</v>
      </c>
      <c r="B96" s="2" t="s">
        <v>44</v>
      </c>
      <c r="C96" s="2" t="s">
        <v>47</v>
      </c>
      <c r="D96" s="2" t="s">
        <v>787</v>
      </c>
      <c r="E96" s="2" t="s">
        <v>788</v>
      </c>
      <c r="F96" s="2" t="s">
        <v>644</v>
      </c>
      <c r="G96" s="2" t="s">
        <v>689</v>
      </c>
      <c r="H96" s="32" t="n">
        <v>42.02</v>
      </c>
      <c r="I96" s="32" t="n">
        <v>42.02</v>
      </c>
      <c r="J96" s="33" t="n">
        <v>0.1</v>
      </c>
      <c r="K96" s="32" t="n">
        <v>4.2</v>
      </c>
      <c r="L96" s="12" t="n">
        <f aca="false">ROUND(I96*J96,2)</f>
        <v>4.2</v>
      </c>
      <c r="M96" s="12" t="n">
        <f aca="false">K96-L96</f>
        <v>0</v>
      </c>
      <c r="N96" s="12" t="n">
        <f aca="false">IF(F96="Promotional Incentive",0,I96)</f>
        <v>42.02</v>
      </c>
      <c r="O96" s="12" t="n">
        <f aca="false">IF(F96="Promotional Incentive",0,K96)</f>
        <v>4.2</v>
      </c>
      <c r="P96" s="11" t="s">
        <v>645</v>
      </c>
      <c r="Q96" s="2"/>
    </row>
    <row r="97" customFormat="false" ht="15" hidden="false" customHeight="false" outlineLevel="0" collapsed="false">
      <c r="A97" s="2" t="s">
        <v>789</v>
      </c>
      <c r="B97" s="2" t="s">
        <v>44</v>
      </c>
      <c r="C97" s="2" t="s">
        <v>47</v>
      </c>
      <c r="D97" s="2" t="s">
        <v>790</v>
      </c>
      <c r="E97" s="2" t="s">
        <v>791</v>
      </c>
      <c r="F97" s="2" t="s">
        <v>644</v>
      </c>
      <c r="G97" s="2" t="s">
        <v>628</v>
      </c>
      <c r="H97" s="32" t="n">
        <v>111.76</v>
      </c>
      <c r="I97" s="32" t="n">
        <v>111.76</v>
      </c>
      <c r="J97" s="33" t="n">
        <v>0.12</v>
      </c>
      <c r="K97" s="32" t="n">
        <v>13.41</v>
      </c>
      <c r="L97" s="12" t="n">
        <f aca="false">ROUND(I97*J97,2)</f>
        <v>13.41</v>
      </c>
      <c r="M97" s="12" t="n">
        <f aca="false">K97-L97</f>
        <v>0</v>
      </c>
      <c r="N97" s="12" t="n">
        <f aca="false">IF(F97="Promotional Incentive",0,I97)</f>
        <v>111.76</v>
      </c>
      <c r="O97" s="12" t="n">
        <f aca="false">IF(F97="Promotional Incentive",0,K97)</f>
        <v>13.41</v>
      </c>
      <c r="P97" s="11" t="s">
        <v>645</v>
      </c>
      <c r="Q97" s="2"/>
    </row>
    <row r="98" customFormat="false" ht="15" hidden="false" customHeight="false" outlineLevel="0" collapsed="false">
      <c r="A98" s="2" t="s">
        <v>792</v>
      </c>
      <c r="B98" s="2" t="s">
        <v>44</v>
      </c>
      <c r="C98" s="2" t="s">
        <v>47</v>
      </c>
      <c r="D98" s="2" t="s">
        <v>793</v>
      </c>
      <c r="E98" s="2" t="s">
        <v>794</v>
      </c>
      <c r="F98" s="2" t="s">
        <v>644</v>
      </c>
      <c r="G98" s="2" t="s">
        <v>795</v>
      </c>
      <c r="H98" s="32" t="n">
        <v>56</v>
      </c>
      <c r="I98" s="32" t="n">
        <v>56</v>
      </c>
      <c r="J98" s="33" t="n">
        <v>0.12</v>
      </c>
      <c r="K98" s="32" t="n">
        <v>6.72</v>
      </c>
      <c r="L98" s="12" t="n">
        <f aca="false">ROUND(I98*J98,2)</f>
        <v>6.72</v>
      </c>
      <c r="M98" s="12" t="n">
        <f aca="false">K98-L98</f>
        <v>0</v>
      </c>
      <c r="N98" s="12" t="n">
        <f aca="false">IF(F98="Promotional Incentive",0,I98)</f>
        <v>56</v>
      </c>
      <c r="O98" s="12" t="n">
        <f aca="false">IF(F98="Promotional Incentive",0,K98)</f>
        <v>6.72</v>
      </c>
      <c r="P98" s="11" t="s">
        <v>645</v>
      </c>
      <c r="Q98" s="2"/>
    </row>
    <row r="99" customFormat="false" ht="15" hidden="false" customHeight="false" outlineLevel="0" collapsed="false">
      <c r="A99" s="2" t="s">
        <v>796</v>
      </c>
      <c r="B99" s="2" t="s">
        <v>44</v>
      </c>
      <c r="C99" s="2" t="s">
        <v>47</v>
      </c>
      <c r="D99" s="2" t="s">
        <v>797</v>
      </c>
      <c r="E99" s="2" t="s">
        <v>798</v>
      </c>
      <c r="F99" s="2" t="s">
        <v>644</v>
      </c>
      <c r="G99" s="2" t="s">
        <v>799</v>
      </c>
      <c r="H99" s="32" t="n">
        <v>54</v>
      </c>
      <c r="I99" s="32" t="n">
        <v>54</v>
      </c>
      <c r="J99" s="33" t="n">
        <v>0.1</v>
      </c>
      <c r="K99" s="32" t="n">
        <v>5.4</v>
      </c>
      <c r="L99" s="12" t="n">
        <f aca="false">ROUND(I99*J99,2)</f>
        <v>5.4</v>
      </c>
      <c r="M99" s="12" t="n">
        <f aca="false">K99-L99</f>
        <v>0</v>
      </c>
      <c r="N99" s="12" t="n">
        <f aca="false">IF(F99="Promotional Incentive",0,I99)</f>
        <v>54</v>
      </c>
      <c r="O99" s="12" t="n">
        <f aca="false">IF(F99="Promotional Incentive",0,K99)</f>
        <v>5.4</v>
      </c>
      <c r="P99" s="11" t="s">
        <v>645</v>
      </c>
      <c r="Q99" s="2"/>
    </row>
    <row r="100" customFormat="false" ht="15" hidden="false" customHeight="false" outlineLevel="0" collapsed="false">
      <c r="A100" s="2" t="s">
        <v>796</v>
      </c>
      <c r="B100" s="2" t="s">
        <v>44</v>
      </c>
      <c r="C100" s="2" t="s">
        <v>47</v>
      </c>
      <c r="D100" s="2" t="s">
        <v>797</v>
      </c>
      <c r="E100" s="2" t="s">
        <v>798</v>
      </c>
      <c r="F100" s="2" t="s">
        <v>644</v>
      </c>
      <c r="G100" s="2" t="s">
        <v>731</v>
      </c>
      <c r="H100" s="32" t="n">
        <v>141.18</v>
      </c>
      <c r="I100" s="32" t="n">
        <v>141.18</v>
      </c>
      <c r="J100" s="33" t="n">
        <v>0.1</v>
      </c>
      <c r="K100" s="32" t="n">
        <v>14.12</v>
      </c>
      <c r="L100" s="12" t="n">
        <f aca="false">ROUND(I100*J100,2)</f>
        <v>14.12</v>
      </c>
      <c r="M100" s="12" t="n">
        <f aca="false">K100-L100</f>
        <v>0</v>
      </c>
      <c r="N100" s="12" t="n">
        <f aca="false">IF(F100="Promotional Incentive",0,I100)</f>
        <v>141.18</v>
      </c>
      <c r="O100" s="12" t="n">
        <f aca="false">IF(F100="Promotional Incentive",0,K100)</f>
        <v>14.12</v>
      </c>
      <c r="P100" s="11" t="s">
        <v>645</v>
      </c>
      <c r="Q100" s="2"/>
    </row>
    <row r="101" customFormat="false" ht="15" hidden="false" customHeight="false" outlineLevel="0" collapsed="false">
      <c r="A101" s="2" t="s">
        <v>796</v>
      </c>
      <c r="B101" s="2" t="s">
        <v>44</v>
      </c>
      <c r="C101" s="2" t="s">
        <v>47</v>
      </c>
      <c r="D101" s="2" t="s">
        <v>797</v>
      </c>
      <c r="E101" s="2" t="s">
        <v>798</v>
      </c>
      <c r="F101" s="2" t="s">
        <v>644</v>
      </c>
      <c r="G101" s="2" t="s">
        <v>731</v>
      </c>
      <c r="H101" s="32" t="n">
        <v>6.05</v>
      </c>
      <c r="I101" s="32" t="n">
        <v>6.05</v>
      </c>
      <c r="J101" s="33" t="n">
        <v>0.1</v>
      </c>
      <c r="K101" s="32" t="n">
        <v>0.61</v>
      </c>
      <c r="L101" s="12" t="n">
        <f aca="false">ROUND(I101*J101,2)</f>
        <v>0.61</v>
      </c>
      <c r="M101" s="12" t="n">
        <f aca="false">K101-L101</f>
        <v>0</v>
      </c>
      <c r="N101" s="12" t="n">
        <f aca="false">IF(F101="Promotional Incentive",0,I101)</f>
        <v>6.05</v>
      </c>
      <c r="O101" s="12" t="n">
        <f aca="false">IF(F101="Promotional Incentive",0,K101)</f>
        <v>0.61</v>
      </c>
      <c r="P101" s="11" t="s">
        <v>645</v>
      </c>
      <c r="Q101" s="2"/>
    </row>
    <row r="102" customFormat="false" ht="15" hidden="false" customHeight="false" outlineLevel="0" collapsed="false">
      <c r="A102" s="2" t="s">
        <v>800</v>
      </c>
      <c r="B102" s="2" t="s">
        <v>44</v>
      </c>
      <c r="C102" s="2" t="s">
        <v>47</v>
      </c>
      <c r="D102" s="2" t="s">
        <v>801</v>
      </c>
      <c r="E102" s="2" t="s">
        <v>802</v>
      </c>
      <c r="F102" s="2" t="s">
        <v>644</v>
      </c>
      <c r="G102" s="2" t="s">
        <v>520</v>
      </c>
      <c r="H102" s="32" t="n">
        <v>359.39</v>
      </c>
      <c r="I102" s="32" t="n">
        <v>359.39</v>
      </c>
      <c r="J102" s="33" t="n">
        <v>0.12</v>
      </c>
      <c r="K102" s="32" t="n">
        <v>43.13</v>
      </c>
      <c r="L102" s="12" t="n">
        <f aca="false">ROUND(I102*J102,2)</f>
        <v>43.13</v>
      </c>
      <c r="M102" s="12" t="n">
        <f aca="false">K102-L102</f>
        <v>0</v>
      </c>
      <c r="N102" s="12" t="n">
        <f aca="false">IF(F102="Promotional Incentive",0,I102)</f>
        <v>359.39</v>
      </c>
      <c r="O102" s="12" t="n">
        <f aca="false">IF(F102="Promotional Incentive",0,K102)</f>
        <v>43.13</v>
      </c>
      <c r="P102" s="11" t="s">
        <v>645</v>
      </c>
      <c r="Q102" s="2"/>
    </row>
    <row r="103" customFormat="false" ht="15" hidden="false" customHeight="false" outlineLevel="0" collapsed="false">
      <c r="A103" s="2" t="s">
        <v>803</v>
      </c>
      <c r="B103" s="2" t="s">
        <v>44</v>
      </c>
      <c r="C103" s="2" t="s">
        <v>47</v>
      </c>
      <c r="D103" s="2" t="s">
        <v>804</v>
      </c>
      <c r="E103" s="2" t="s">
        <v>805</v>
      </c>
      <c r="F103" s="2" t="s">
        <v>644</v>
      </c>
      <c r="G103" s="2" t="s">
        <v>618</v>
      </c>
      <c r="H103" s="32" t="n">
        <v>155.94</v>
      </c>
      <c r="I103" s="32" t="n">
        <v>155.94</v>
      </c>
      <c r="J103" s="33" t="n">
        <v>0.12</v>
      </c>
      <c r="K103" s="32" t="n">
        <v>18.71</v>
      </c>
      <c r="L103" s="12" t="n">
        <f aca="false">ROUND(I103*J103,2)</f>
        <v>18.71</v>
      </c>
      <c r="M103" s="12" t="n">
        <f aca="false">K103-L103</f>
        <v>0</v>
      </c>
      <c r="N103" s="12" t="n">
        <f aca="false">IF(F103="Promotional Incentive",0,I103)</f>
        <v>155.94</v>
      </c>
      <c r="O103" s="12" t="n">
        <f aca="false">IF(F103="Promotional Incentive",0,K103)</f>
        <v>18.71</v>
      </c>
      <c r="P103" s="11" t="s">
        <v>645</v>
      </c>
      <c r="Q103" s="2"/>
    </row>
    <row r="104" customFormat="false" ht="15" hidden="false" customHeight="false" outlineLevel="0" collapsed="false">
      <c r="A104" s="2" t="s">
        <v>803</v>
      </c>
      <c r="B104" s="2" t="s">
        <v>44</v>
      </c>
      <c r="C104" s="2" t="s">
        <v>47</v>
      </c>
      <c r="D104" s="2" t="s">
        <v>804</v>
      </c>
      <c r="E104" s="2" t="s">
        <v>805</v>
      </c>
      <c r="F104" s="2" t="s">
        <v>644</v>
      </c>
      <c r="G104" s="2" t="s">
        <v>620</v>
      </c>
      <c r="H104" s="32" t="n">
        <v>141.19</v>
      </c>
      <c r="I104" s="32" t="n">
        <v>141.19</v>
      </c>
      <c r="J104" s="33" t="n">
        <v>0.12</v>
      </c>
      <c r="K104" s="32" t="n">
        <v>16.94</v>
      </c>
      <c r="L104" s="12" t="n">
        <f aca="false">ROUND(I104*J104,2)</f>
        <v>16.94</v>
      </c>
      <c r="M104" s="12" t="n">
        <f aca="false">K104-L104</f>
        <v>0</v>
      </c>
      <c r="N104" s="12" t="n">
        <f aca="false">IF(F104="Promotional Incentive",0,I104)</f>
        <v>141.19</v>
      </c>
      <c r="O104" s="12" t="n">
        <f aca="false">IF(F104="Promotional Incentive",0,K104)</f>
        <v>16.94</v>
      </c>
      <c r="P104" s="11" t="s">
        <v>645</v>
      </c>
      <c r="Q104" s="2"/>
    </row>
    <row r="105" customFormat="false" ht="15" hidden="false" customHeight="false" outlineLevel="0" collapsed="false">
      <c r="A105" s="2" t="s">
        <v>806</v>
      </c>
      <c r="B105" s="2" t="s">
        <v>44</v>
      </c>
      <c r="C105" s="2" t="s">
        <v>47</v>
      </c>
      <c r="D105" s="2" t="s">
        <v>807</v>
      </c>
      <c r="E105" s="2" t="s">
        <v>808</v>
      </c>
      <c r="F105" s="2" t="s">
        <v>644</v>
      </c>
      <c r="G105" s="2" t="s">
        <v>622</v>
      </c>
      <c r="H105" s="32" t="n">
        <v>42</v>
      </c>
      <c r="I105" s="32" t="n">
        <v>42</v>
      </c>
      <c r="J105" s="33" t="n">
        <v>0.14</v>
      </c>
      <c r="K105" s="32" t="n">
        <v>5.88</v>
      </c>
      <c r="L105" s="12" t="n">
        <f aca="false">ROUND(I105*J105,2)</f>
        <v>5.88</v>
      </c>
      <c r="M105" s="12" t="n">
        <f aca="false">K105-L105</f>
        <v>0</v>
      </c>
      <c r="N105" s="12" t="n">
        <f aca="false">IF(F105="Promotional Incentive",0,I105)</f>
        <v>42</v>
      </c>
      <c r="O105" s="12" t="n">
        <f aca="false">IF(F105="Promotional Incentive",0,K105)</f>
        <v>5.88</v>
      </c>
      <c r="P105" s="11" t="s">
        <v>645</v>
      </c>
      <c r="Q105" s="2"/>
    </row>
    <row r="106" customFormat="false" ht="15" hidden="false" customHeight="false" outlineLevel="0" collapsed="false">
      <c r="A106" s="2" t="s">
        <v>809</v>
      </c>
      <c r="B106" s="2" t="s">
        <v>44</v>
      </c>
      <c r="C106" s="2" t="s">
        <v>47</v>
      </c>
      <c r="D106" s="2" t="s">
        <v>810</v>
      </c>
      <c r="E106" s="2" t="s">
        <v>811</v>
      </c>
      <c r="F106" s="2" t="s">
        <v>644</v>
      </c>
      <c r="G106" s="2" t="s">
        <v>622</v>
      </c>
      <c r="H106" s="32" t="n">
        <v>85.33</v>
      </c>
      <c r="I106" s="32" t="n">
        <v>85.33</v>
      </c>
      <c r="J106" s="33" t="n">
        <v>0.1</v>
      </c>
      <c r="K106" s="32" t="n">
        <v>8.53</v>
      </c>
      <c r="L106" s="12" t="n">
        <f aca="false">ROUND(I106*J106,2)</f>
        <v>8.53</v>
      </c>
      <c r="M106" s="12" t="n">
        <f aca="false">K106-L106</f>
        <v>0</v>
      </c>
      <c r="N106" s="12" t="n">
        <f aca="false">IF(F106="Promotional Incentive",0,I106)</f>
        <v>85.33</v>
      </c>
      <c r="O106" s="12" t="n">
        <f aca="false">IF(F106="Promotional Incentive",0,K106)</f>
        <v>8.53</v>
      </c>
      <c r="P106" s="11" t="s">
        <v>645</v>
      </c>
      <c r="Q106" s="2"/>
    </row>
    <row r="107" customFormat="false" ht="15" hidden="false" customHeight="false" outlineLevel="0" collapsed="false">
      <c r="A107" s="2" t="s">
        <v>812</v>
      </c>
      <c r="B107" s="2" t="s">
        <v>44</v>
      </c>
      <c r="C107" s="2" t="s">
        <v>47</v>
      </c>
      <c r="D107" s="2" t="s">
        <v>813</v>
      </c>
      <c r="E107" s="2" t="s">
        <v>814</v>
      </c>
      <c r="F107" s="2" t="s">
        <v>644</v>
      </c>
      <c r="G107" s="2" t="s">
        <v>750</v>
      </c>
      <c r="H107" s="32" t="n">
        <v>41.54</v>
      </c>
      <c r="I107" s="32" t="n">
        <v>41.54</v>
      </c>
      <c r="J107" s="33" t="n">
        <v>0.1</v>
      </c>
      <c r="K107" s="32" t="n">
        <v>4.15</v>
      </c>
      <c r="L107" s="12" t="n">
        <f aca="false">ROUND(I107*J107,2)</f>
        <v>4.15</v>
      </c>
      <c r="M107" s="12" t="n">
        <f aca="false">K107-L107</f>
        <v>0</v>
      </c>
      <c r="N107" s="12" t="n">
        <f aca="false">IF(F107="Promotional Incentive",0,I107)</f>
        <v>41.54</v>
      </c>
      <c r="O107" s="12" t="n">
        <f aca="false">IF(F107="Promotional Incentive",0,K107)</f>
        <v>4.15</v>
      </c>
      <c r="P107" s="11" t="s">
        <v>645</v>
      </c>
      <c r="Q107" s="2"/>
    </row>
    <row r="108" customFormat="false" ht="15" hidden="false" customHeight="false" outlineLevel="0" collapsed="false">
      <c r="A108" s="2" t="s">
        <v>815</v>
      </c>
      <c r="B108" s="2" t="s">
        <v>44</v>
      </c>
      <c r="C108" s="2" t="s">
        <v>47</v>
      </c>
      <c r="D108" s="2" t="s">
        <v>326</v>
      </c>
      <c r="E108" s="2" t="s">
        <v>816</v>
      </c>
      <c r="F108" s="2" t="s">
        <v>682</v>
      </c>
      <c r="G108" s="2" t="s">
        <v>817</v>
      </c>
      <c r="H108" s="32" t="n">
        <v>-744.72</v>
      </c>
      <c r="I108" s="32" t="n">
        <v>-744.72</v>
      </c>
      <c r="J108" s="33" t="n">
        <v>0.1</v>
      </c>
      <c r="K108" s="32" t="n">
        <v>-74.47</v>
      </c>
      <c r="L108" s="12" t="n">
        <f aca="false">ROUND(I108*J108,2)</f>
        <v>-74.47</v>
      </c>
      <c r="M108" s="12" t="n">
        <f aca="false">K108-L108</f>
        <v>0</v>
      </c>
      <c r="N108" s="12" t="n">
        <f aca="false">IF(F108="Promotional Incentive",0,I108)</f>
        <v>-744.72</v>
      </c>
      <c r="O108" s="12" t="n">
        <f aca="false">IF(F108="Promotional Incentive",0,K108)</f>
        <v>-74.47</v>
      </c>
      <c r="P108" s="11" t="s">
        <v>645</v>
      </c>
      <c r="Q108" s="2"/>
    </row>
    <row r="109" customFormat="false" ht="15" hidden="false" customHeight="false" outlineLevel="0" collapsed="false">
      <c r="A109" s="2" t="s">
        <v>818</v>
      </c>
      <c r="B109" s="2" t="s">
        <v>44</v>
      </c>
      <c r="C109" s="2" t="s">
        <v>47</v>
      </c>
      <c r="D109" s="2" t="s">
        <v>819</v>
      </c>
      <c r="E109" s="2" t="s">
        <v>820</v>
      </c>
      <c r="F109" s="2" t="s">
        <v>597</v>
      </c>
      <c r="G109" s="2" t="s">
        <v>821</v>
      </c>
      <c r="H109" s="32" t="n">
        <v>-22</v>
      </c>
      <c r="I109" s="32" t="n">
        <v>-22</v>
      </c>
      <c r="J109" s="33" t="n">
        <v>0.1</v>
      </c>
      <c r="K109" s="32" t="n">
        <v>-2.2</v>
      </c>
      <c r="L109" s="12" t="n">
        <f aca="false">ROUND(I109*J109,2)</f>
        <v>-2.2</v>
      </c>
      <c r="M109" s="12" t="n">
        <f aca="false">K109-L109</f>
        <v>0</v>
      </c>
      <c r="N109" s="12" t="n">
        <f aca="false">IF(F109="Promotional Incentive",0,I109)</f>
        <v>-22</v>
      </c>
      <c r="O109" s="12" t="n">
        <f aca="false">IF(F109="Promotional Incentive",0,K109)</f>
        <v>-2.2</v>
      </c>
      <c r="P109" s="11" t="s">
        <v>645</v>
      </c>
      <c r="Q109" s="2"/>
    </row>
    <row r="110" customFormat="false" ht="15" hidden="false" customHeight="false" outlineLevel="0" collapsed="false">
      <c r="A110" s="2" t="s">
        <v>818</v>
      </c>
      <c r="B110" s="2" t="s">
        <v>44</v>
      </c>
      <c r="C110" s="2" t="s">
        <v>47</v>
      </c>
      <c r="D110" s="2" t="s">
        <v>819</v>
      </c>
      <c r="E110" s="2" t="s">
        <v>820</v>
      </c>
      <c r="F110" s="2" t="s">
        <v>597</v>
      </c>
      <c r="G110" s="2" t="s">
        <v>614</v>
      </c>
      <c r="H110" s="32" t="n">
        <v>-5.47</v>
      </c>
      <c r="I110" s="32" t="n">
        <v>-5.47</v>
      </c>
      <c r="J110" s="33" t="n">
        <v>0.1</v>
      </c>
      <c r="K110" s="32" t="n">
        <v>-0.55</v>
      </c>
      <c r="L110" s="12" t="n">
        <f aca="false">ROUND(I110*J110,2)</f>
        <v>-0.55</v>
      </c>
      <c r="M110" s="12" t="n">
        <f aca="false">K110-L110</f>
        <v>0</v>
      </c>
      <c r="N110" s="12" t="n">
        <f aca="false">IF(F110="Promotional Incentive",0,I110)</f>
        <v>-5.47</v>
      </c>
      <c r="O110" s="12" t="n">
        <f aca="false">IF(F110="Promotional Incentive",0,K110)</f>
        <v>-0.55</v>
      </c>
      <c r="P110" s="11" t="s">
        <v>645</v>
      </c>
      <c r="Q110" s="2"/>
    </row>
    <row r="111" customFormat="false" ht="15" hidden="false" customHeight="false" outlineLevel="0" collapsed="false">
      <c r="A111" s="2" t="s">
        <v>818</v>
      </c>
      <c r="B111" s="2" t="s">
        <v>44</v>
      </c>
      <c r="C111" s="2" t="s">
        <v>47</v>
      </c>
      <c r="D111" s="2" t="s">
        <v>819</v>
      </c>
      <c r="E111" s="2" t="s">
        <v>820</v>
      </c>
      <c r="F111" s="2" t="s">
        <v>644</v>
      </c>
      <c r="G111" s="2" t="s">
        <v>618</v>
      </c>
      <c r="H111" s="32" t="n">
        <v>140</v>
      </c>
      <c r="I111" s="32" t="n">
        <v>140</v>
      </c>
      <c r="J111" s="33" t="n">
        <v>0.1</v>
      </c>
      <c r="K111" s="32" t="n">
        <v>14</v>
      </c>
      <c r="L111" s="12" t="n">
        <f aca="false">ROUND(I111*J111,2)</f>
        <v>14</v>
      </c>
      <c r="M111" s="12" t="n">
        <f aca="false">K111-L111</f>
        <v>0</v>
      </c>
      <c r="N111" s="12" t="n">
        <f aca="false">IF(F111="Promotional Incentive",0,I111)</f>
        <v>140</v>
      </c>
      <c r="O111" s="12" t="n">
        <f aca="false">IF(F111="Promotional Incentive",0,K111)</f>
        <v>14</v>
      </c>
      <c r="P111" s="11" t="s">
        <v>645</v>
      </c>
      <c r="Q111" s="2"/>
    </row>
    <row r="112" customFormat="false" ht="15" hidden="false" customHeight="false" outlineLevel="0" collapsed="false">
      <c r="A112" s="2" t="s">
        <v>818</v>
      </c>
      <c r="B112" s="2" t="s">
        <v>44</v>
      </c>
      <c r="C112" s="2" t="s">
        <v>47</v>
      </c>
      <c r="D112" s="2" t="s">
        <v>819</v>
      </c>
      <c r="E112" s="2" t="s">
        <v>822</v>
      </c>
      <c r="F112" s="2" t="s">
        <v>682</v>
      </c>
      <c r="G112" s="2" t="s">
        <v>823</v>
      </c>
      <c r="H112" s="32" t="n">
        <v>-532.55</v>
      </c>
      <c r="I112" s="32" t="n">
        <v>-532.55</v>
      </c>
      <c r="J112" s="33" t="n">
        <v>0.1</v>
      </c>
      <c r="K112" s="32" t="n">
        <v>-53.26</v>
      </c>
      <c r="L112" s="12" t="n">
        <f aca="false">ROUND(I112*J112,2)</f>
        <v>-53.26</v>
      </c>
      <c r="M112" s="12" t="n">
        <f aca="false">K112-L112</f>
        <v>0</v>
      </c>
      <c r="N112" s="12" t="n">
        <f aca="false">IF(F112="Promotional Incentive",0,I112)</f>
        <v>-532.55</v>
      </c>
      <c r="O112" s="12" t="n">
        <f aca="false">IF(F112="Promotional Incentive",0,K112)</f>
        <v>-53.26</v>
      </c>
      <c r="P112" s="11" t="s">
        <v>645</v>
      </c>
      <c r="Q112" s="2"/>
    </row>
    <row r="113" customFormat="false" ht="15" hidden="false" customHeight="false" outlineLevel="0" collapsed="false">
      <c r="A113" s="2" t="s">
        <v>824</v>
      </c>
      <c r="B113" s="2" t="s">
        <v>44</v>
      </c>
      <c r="C113" s="2" t="s">
        <v>47</v>
      </c>
      <c r="D113" s="2" t="s">
        <v>825</v>
      </c>
      <c r="E113" s="2" t="s">
        <v>826</v>
      </c>
      <c r="F113" s="2" t="s">
        <v>644</v>
      </c>
      <c r="G113" s="2" t="s">
        <v>602</v>
      </c>
      <c r="H113" s="32" t="n">
        <v>24</v>
      </c>
      <c r="I113" s="32" t="n">
        <v>24</v>
      </c>
      <c r="J113" s="33" t="n">
        <v>0.1</v>
      </c>
      <c r="K113" s="32" t="n">
        <v>2.4</v>
      </c>
      <c r="L113" s="12" t="n">
        <f aca="false">ROUND(I113*J113,2)</f>
        <v>2.4</v>
      </c>
      <c r="M113" s="12" t="n">
        <f aca="false">K113-L113</f>
        <v>0</v>
      </c>
      <c r="N113" s="12" t="n">
        <f aca="false">IF(F113="Promotional Incentive",0,I113)</f>
        <v>24</v>
      </c>
      <c r="O113" s="12" t="n">
        <f aca="false">IF(F113="Promotional Incentive",0,K113)</f>
        <v>2.4</v>
      </c>
      <c r="P113" s="11" t="s">
        <v>645</v>
      </c>
      <c r="Q113" s="2"/>
    </row>
    <row r="114" customFormat="false" ht="15" hidden="false" customHeight="false" outlineLevel="0" collapsed="false">
      <c r="A114" s="2" t="s">
        <v>824</v>
      </c>
      <c r="B114" s="2" t="s">
        <v>44</v>
      </c>
      <c r="C114" s="2" t="s">
        <v>47</v>
      </c>
      <c r="D114" s="2" t="s">
        <v>825</v>
      </c>
      <c r="E114" s="2" t="s">
        <v>826</v>
      </c>
      <c r="F114" s="2" t="s">
        <v>25</v>
      </c>
      <c r="G114" s="2" t="s">
        <v>602</v>
      </c>
      <c r="H114" s="32" t="n">
        <v>1267</v>
      </c>
      <c r="I114" s="32" t="n">
        <v>1267</v>
      </c>
      <c r="J114" s="33" t="n">
        <v>0.1</v>
      </c>
      <c r="K114" s="32" t="n">
        <v>126.7</v>
      </c>
      <c r="L114" s="12" t="n">
        <f aca="false">ROUND(I114*J114,2)</f>
        <v>126.7</v>
      </c>
      <c r="M114" s="12" t="n">
        <f aca="false">K114-L114</f>
        <v>0</v>
      </c>
      <c r="N114" s="12" t="n">
        <f aca="false">IF(F114="Promotional Incentive",0,I114)</f>
        <v>1267</v>
      </c>
      <c r="O114" s="12" t="n">
        <f aca="false">IF(F114="Promotional Incentive",0,K114)</f>
        <v>126.7</v>
      </c>
      <c r="P114" s="11" t="s">
        <v>645</v>
      </c>
      <c r="Q114" s="2"/>
    </row>
    <row r="115" customFormat="false" ht="15" hidden="false" customHeight="false" outlineLevel="0" collapsed="false">
      <c r="A115" s="2" t="s">
        <v>827</v>
      </c>
      <c r="B115" s="2" t="s">
        <v>44</v>
      </c>
      <c r="C115" s="2" t="s">
        <v>47</v>
      </c>
      <c r="D115" s="2" t="s">
        <v>828</v>
      </c>
      <c r="E115" s="2" t="s">
        <v>829</v>
      </c>
      <c r="F115" s="2" t="s">
        <v>25</v>
      </c>
      <c r="G115" s="2" t="s">
        <v>598</v>
      </c>
      <c r="H115" s="32" t="n">
        <v>958</v>
      </c>
      <c r="I115" s="32" t="n">
        <v>958</v>
      </c>
      <c r="J115" s="33" t="n">
        <v>0.12</v>
      </c>
      <c r="K115" s="32" t="n">
        <v>114.96</v>
      </c>
      <c r="L115" s="12" t="n">
        <f aca="false">ROUND(I115*J115,2)</f>
        <v>114.96</v>
      </c>
      <c r="M115" s="12" t="n">
        <f aca="false">K115-L115</f>
        <v>0</v>
      </c>
      <c r="N115" s="12" t="n">
        <f aca="false">IF(F115="Promotional Incentive",0,I115)</f>
        <v>958</v>
      </c>
      <c r="O115" s="12" t="n">
        <f aca="false">IF(F115="Promotional Incentive",0,K115)</f>
        <v>114.96</v>
      </c>
      <c r="P115" s="11" t="s">
        <v>645</v>
      </c>
      <c r="Q115" s="2"/>
    </row>
    <row r="116" customFormat="false" ht="15" hidden="false" customHeight="false" outlineLevel="0" collapsed="false">
      <c r="A116" s="2" t="s">
        <v>830</v>
      </c>
      <c r="B116" s="2" t="s">
        <v>44</v>
      </c>
      <c r="C116" s="2" t="s">
        <v>47</v>
      </c>
      <c r="D116" s="2" t="s">
        <v>831</v>
      </c>
      <c r="E116" s="2" t="s">
        <v>832</v>
      </c>
      <c r="F116" s="2" t="s">
        <v>25</v>
      </c>
      <c r="G116" s="2" t="s">
        <v>624</v>
      </c>
      <c r="H116" s="32" t="n">
        <v>1713</v>
      </c>
      <c r="I116" s="32" t="n">
        <v>1713</v>
      </c>
      <c r="J116" s="33" t="n">
        <v>0.12</v>
      </c>
      <c r="K116" s="32" t="n">
        <v>205.56</v>
      </c>
      <c r="L116" s="12" t="n">
        <f aca="false">ROUND(I116*J116,2)</f>
        <v>205.56</v>
      </c>
      <c r="M116" s="12" t="n">
        <f aca="false">K116-L116</f>
        <v>0</v>
      </c>
      <c r="N116" s="12" t="n">
        <f aca="false">IF(F116="Promotional Incentive",0,I116)</f>
        <v>1713</v>
      </c>
      <c r="O116" s="12" t="n">
        <f aca="false">IF(F116="Promotional Incentive",0,K116)</f>
        <v>205.56</v>
      </c>
      <c r="P116" s="11" t="s">
        <v>645</v>
      </c>
      <c r="Q116" s="2"/>
    </row>
    <row r="117" customFormat="false" ht="15" hidden="false" customHeight="false" outlineLevel="0" collapsed="false">
      <c r="A117" s="2" t="s">
        <v>833</v>
      </c>
      <c r="B117" s="2" t="s">
        <v>44</v>
      </c>
      <c r="C117" s="2" t="s">
        <v>47</v>
      </c>
      <c r="D117" s="2" t="s">
        <v>834</v>
      </c>
      <c r="E117" s="2" t="s">
        <v>835</v>
      </c>
      <c r="F117" s="2" t="s">
        <v>25</v>
      </c>
      <c r="G117" s="2" t="s">
        <v>624</v>
      </c>
      <c r="H117" s="32" t="n">
        <v>2055</v>
      </c>
      <c r="I117" s="32" t="n">
        <v>2055</v>
      </c>
      <c r="J117" s="33" t="n">
        <v>0.1</v>
      </c>
      <c r="K117" s="32" t="n">
        <v>205.5</v>
      </c>
      <c r="L117" s="12" t="n">
        <f aca="false">ROUND(I117*J117,2)</f>
        <v>205.5</v>
      </c>
      <c r="M117" s="12" t="n">
        <f aca="false">K117-L117</f>
        <v>0</v>
      </c>
      <c r="N117" s="12" t="n">
        <f aca="false">IF(F117="Promotional Incentive",0,I117)</f>
        <v>2055</v>
      </c>
      <c r="O117" s="12" t="n">
        <f aca="false">IF(F117="Promotional Incentive",0,K117)</f>
        <v>205.5</v>
      </c>
      <c r="P117" s="11" t="s">
        <v>645</v>
      </c>
      <c r="Q117" s="2"/>
    </row>
    <row r="118" customFormat="false" ht="15" hidden="false" customHeight="false" outlineLevel="0" collapsed="false">
      <c r="A118" s="2" t="s">
        <v>836</v>
      </c>
      <c r="B118" s="2" t="s">
        <v>44</v>
      </c>
      <c r="C118" s="2" t="s">
        <v>47</v>
      </c>
      <c r="D118" s="2" t="s">
        <v>837</v>
      </c>
      <c r="E118" s="2" t="s">
        <v>838</v>
      </c>
      <c r="F118" s="2" t="s">
        <v>25</v>
      </c>
      <c r="G118" s="2" t="s">
        <v>614</v>
      </c>
      <c r="H118" s="32" t="n">
        <v>535</v>
      </c>
      <c r="I118" s="32" t="n">
        <v>535</v>
      </c>
      <c r="J118" s="33" t="n">
        <v>0.14</v>
      </c>
      <c r="K118" s="32" t="n">
        <v>74.9</v>
      </c>
      <c r="L118" s="12" t="n">
        <f aca="false">ROUND(I118*J118,2)</f>
        <v>74.9</v>
      </c>
      <c r="M118" s="12" t="n">
        <f aca="false">K118-L118</f>
        <v>0</v>
      </c>
      <c r="N118" s="12" t="n">
        <f aca="false">IF(F118="Promotional Incentive",0,I118)</f>
        <v>535</v>
      </c>
      <c r="O118" s="12" t="n">
        <f aca="false">IF(F118="Promotional Incentive",0,K118)</f>
        <v>74.9</v>
      </c>
      <c r="P118" s="11" t="s">
        <v>645</v>
      </c>
      <c r="Q118" s="2"/>
    </row>
    <row r="119" customFormat="false" ht="15" hidden="false" customHeight="false" outlineLevel="0" collapsed="false">
      <c r="A119" s="2" t="s">
        <v>836</v>
      </c>
      <c r="B119" s="2" t="s">
        <v>44</v>
      </c>
      <c r="C119" s="2" t="s">
        <v>47</v>
      </c>
      <c r="D119" s="2" t="s">
        <v>837</v>
      </c>
      <c r="E119" s="2" t="s">
        <v>838</v>
      </c>
      <c r="F119" s="2" t="s">
        <v>597</v>
      </c>
      <c r="G119" s="2" t="s">
        <v>731</v>
      </c>
      <c r="H119" s="32" t="n">
        <v>-477.7</v>
      </c>
      <c r="I119" s="32" t="n">
        <v>-477.7</v>
      </c>
      <c r="J119" s="33" t="n">
        <v>0.14</v>
      </c>
      <c r="K119" s="32" t="n">
        <v>-66.88</v>
      </c>
      <c r="L119" s="12" t="n">
        <f aca="false">ROUND(I119*J119,2)</f>
        <v>-66.88</v>
      </c>
      <c r="M119" s="12" t="n">
        <f aca="false">K119-L119</f>
        <v>0</v>
      </c>
      <c r="N119" s="12" t="n">
        <f aca="false">IF(F119="Promotional Incentive",0,I119)</f>
        <v>-477.7</v>
      </c>
      <c r="O119" s="12" t="n">
        <f aca="false">IF(F119="Promotional Incentive",0,K119)</f>
        <v>-66.88</v>
      </c>
      <c r="P119" s="11" t="s">
        <v>645</v>
      </c>
      <c r="Q119" s="2"/>
    </row>
    <row r="120" customFormat="false" ht="15" hidden="false" customHeight="false" outlineLevel="0" collapsed="false">
      <c r="A120" s="2" t="s">
        <v>836</v>
      </c>
      <c r="B120" s="2" t="s">
        <v>44</v>
      </c>
      <c r="C120" s="2" t="s">
        <v>47</v>
      </c>
      <c r="D120" s="2" t="s">
        <v>837</v>
      </c>
      <c r="E120" s="2" t="s">
        <v>838</v>
      </c>
      <c r="F120" s="2" t="s">
        <v>644</v>
      </c>
      <c r="G120" s="2" t="s">
        <v>731</v>
      </c>
      <c r="H120" s="32" t="n">
        <v>491.24</v>
      </c>
      <c r="I120" s="32" t="n">
        <v>491.24</v>
      </c>
      <c r="J120" s="33" t="n">
        <v>0.14</v>
      </c>
      <c r="K120" s="32" t="n">
        <v>68.77</v>
      </c>
      <c r="L120" s="12" t="n">
        <f aca="false">ROUND(I120*J120,2)</f>
        <v>68.77</v>
      </c>
      <c r="M120" s="12" t="n">
        <f aca="false">K120-L120</f>
        <v>0</v>
      </c>
      <c r="N120" s="12" t="n">
        <f aca="false">IF(F120="Promotional Incentive",0,I120)</f>
        <v>491.24</v>
      </c>
      <c r="O120" s="12" t="n">
        <f aca="false">IF(F120="Promotional Incentive",0,K120)</f>
        <v>68.77</v>
      </c>
      <c r="P120" s="11" t="s">
        <v>645</v>
      </c>
      <c r="Q120" s="2"/>
    </row>
    <row r="121" customFormat="false" ht="15" hidden="false" customHeight="false" outlineLevel="0" collapsed="false">
      <c r="A121" s="2" t="s">
        <v>836</v>
      </c>
      <c r="B121" s="2" t="s">
        <v>44</v>
      </c>
      <c r="C121" s="2" t="s">
        <v>47</v>
      </c>
      <c r="D121" s="2" t="s">
        <v>837</v>
      </c>
      <c r="E121" s="2" t="s">
        <v>838</v>
      </c>
      <c r="F121" s="2" t="s">
        <v>644</v>
      </c>
      <c r="G121" s="2" t="s">
        <v>622</v>
      </c>
      <c r="H121" s="32" t="n">
        <v>34.89</v>
      </c>
      <c r="I121" s="32" t="n">
        <v>34.89</v>
      </c>
      <c r="J121" s="33" t="n">
        <v>0.14</v>
      </c>
      <c r="K121" s="32" t="n">
        <v>4.88</v>
      </c>
      <c r="L121" s="12" t="n">
        <f aca="false">ROUND(I121*J121,2)</f>
        <v>4.88</v>
      </c>
      <c r="M121" s="12" t="n">
        <f aca="false">K121-L121</f>
        <v>0</v>
      </c>
      <c r="N121" s="12" t="n">
        <f aca="false">IF(F121="Promotional Incentive",0,I121)</f>
        <v>34.89</v>
      </c>
      <c r="O121" s="12" t="n">
        <f aca="false">IF(F121="Promotional Incentive",0,K121)</f>
        <v>4.88</v>
      </c>
      <c r="P121" s="11" t="s">
        <v>645</v>
      </c>
      <c r="Q121" s="2"/>
    </row>
    <row r="122" customFormat="false" ht="15" hidden="false" customHeight="false" outlineLevel="0" collapsed="false">
      <c r="A122" s="2" t="s">
        <v>839</v>
      </c>
      <c r="B122" s="2" t="s">
        <v>44</v>
      </c>
      <c r="C122" s="2" t="s">
        <v>47</v>
      </c>
      <c r="D122" s="2" t="s">
        <v>840</v>
      </c>
      <c r="E122" s="2" t="s">
        <v>841</v>
      </c>
      <c r="F122" s="2" t="s">
        <v>25</v>
      </c>
      <c r="G122" s="2" t="s">
        <v>630</v>
      </c>
      <c r="H122" s="32" t="n">
        <v>1249</v>
      </c>
      <c r="I122" s="32" t="n">
        <v>1249</v>
      </c>
      <c r="J122" s="33" t="n">
        <v>0.12</v>
      </c>
      <c r="K122" s="32" t="n">
        <v>149.88</v>
      </c>
      <c r="L122" s="12" t="n">
        <f aca="false">ROUND(I122*J122,2)</f>
        <v>149.88</v>
      </c>
      <c r="M122" s="12" t="n">
        <f aca="false">K122-L122</f>
        <v>0</v>
      </c>
      <c r="N122" s="12" t="n">
        <f aca="false">IF(F122="Promotional Incentive",0,I122)</f>
        <v>1249</v>
      </c>
      <c r="O122" s="12" t="n">
        <f aca="false">IF(F122="Promotional Incentive",0,K122)</f>
        <v>149.88</v>
      </c>
      <c r="P122" s="11" t="s">
        <v>645</v>
      </c>
      <c r="Q122" s="2"/>
    </row>
    <row r="123" customFormat="false" ht="15" hidden="false" customHeight="false" outlineLevel="0" collapsed="false">
      <c r="A123" s="2" t="s">
        <v>839</v>
      </c>
      <c r="B123" s="2" t="s">
        <v>44</v>
      </c>
      <c r="C123" s="2" t="s">
        <v>47</v>
      </c>
      <c r="D123" s="2" t="s">
        <v>840</v>
      </c>
      <c r="E123" s="2" t="s">
        <v>841</v>
      </c>
      <c r="F123" s="2" t="s">
        <v>644</v>
      </c>
      <c r="G123" s="2" t="s">
        <v>630</v>
      </c>
      <c r="H123" s="32" t="n">
        <v>470</v>
      </c>
      <c r="I123" s="32" t="n">
        <v>470</v>
      </c>
      <c r="J123" s="33" t="n">
        <v>0.12</v>
      </c>
      <c r="K123" s="32" t="n">
        <v>56.4</v>
      </c>
      <c r="L123" s="12" t="n">
        <f aca="false">ROUND(I123*J123,2)</f>
        <v>56.4</v>
      </c>
      <c r="M123" s="12" t="n">
        <f aca="false">K123-L123</f>
        <v>0</v>
      </c>
      <c r="N123" s="12" t="n">
        <f aca="false">IF(F123="Promotional Incentive",0,I123)</f>
        <v>470</v>
      </c>
      <c r="O123" s="12" t="n">
        <f aca="false">IF(F123="Promotional Incentive",0,K123)</f>
        <v>56.4</v>
      </c>
      <c r="P123" s="11" t="s">
        <v>645</v>
      </c>
      <c r="Q123" s="2"/>
    </row>
    <row r="124" customFormat="false" ht="15" hidden="false" customHeight="false" outlineLevel="0" collapsed="false">
      <c r="A124" s="2" t="s">
        <v>839</v>
      </c>
      <c r="B124" s="2" t="s">
        <v>44</v>
      </c>
      <c r="C124" s="2" t="s">
        <v>47</v>
      </c>
      <c r="D124" s="2" t="s">
        <v>840</v>
      </c>
      <c r="E124" s="2" t="s">
        <v>841</v>
      </c>
      <c r="F124" s="2" t="s">
        <v>597</v>
      </c>
      <c r="G124" s="2" t="s">
        <v>628</v>
      </c>
      <c r="H124" s="32" t="n">
        <v>-134.96</v>
      </c>
      <c r="I124" s="32" t="n">
        <v>-134.96</v>
      </c>
      <c r="J124" s="33" t="n">
        <v>0.12</v>
      </c>
      <c r="K124" s="32" t="n">
        <v>-16.2</v>
      </c>
      <c r="L124" s="12" t="n">
        <f aca="false">ROUND(I124*J124,2)</f>
        <v>-16.2</v>
      </c>
      <c r="M124" s="12" t="n">
        <f aca="false">K124-L124</f>
        <v>0</v>
      </c>
      <c r="N124" s="12" t="n">
        <f aca="false">IF(F124="Promotional Incentive",0,I124)</f>
        <v>-134.96</v>
      </c>
      <c r="O124" s="12" t="n">
        <f aca="false">IF(F124="Promotional Incentive",0,K124)</f>
        <v>-16.2</v>
      </c>
      <c r="P124" s="11" t="s">
        <v>645</v>
      </c>
      <c r="Q124" s="2"/>
    </row>
    <row r="125" customFormat="false" ht="15" hidden="false" customHeight="false" outlineLevel="0" collapsed="false">
      <c r="A125" s="2" t="s">
        <v>839</v>
      </c>
      <c r="B125" s="2" t="s">
        <v>44</v>
      </c>
      <c r="C125" s="2" t="s">
        <v>47</v>
      </c>
      <c r="D125" s="2" t="s">
        <v>840</v>
      </c>
      <c r="E125" s="2" t="s">
        <v>842</v>
      </c>
      <c r="F125" s="2" t="s">
        <v>682</v>
      </c>
      <c r="G125" s="2" t="s">
        <v>618</v>
      </c>
      <c r="H125" s="32" t="n">
        <v>-1503.54</v>
      </c>
      <c r="I125" s="32" t="n">
        <v>-1503.54</v>
      </c>
      <c r="J125" s="33" t="n">
        <v>0.12</v>
      </c>
      <c r="K125" s="32" t="n">
        <v>-180.42</v>
      </c>
      <c r="L125" s="12" t="n">
        <f aca="false">ROUND(I125*J125,2)</f>
        <v>-180.42</v>
      </c>
      <c r="M125" s="12" t="n">
        <f aca="false">K125-L125</f>
        <v>0</v>
      </c>
      <c r="N125" s="12" t="n">
        <f aca="false">IF(F125="Promotional Incentive",0,I125)</f>
        <v>-1503.54</v>
      </c>
      <c r="O125" s="12" t="n">
        <f aca="false">IF(F125="Promotional Incentive",0,K125)</f>
        <v>-180.42</v>
      </c>
      <c r="P125" s="11" t="s">
        <v>645</v>
      </c>
      <c r="Q125" s="2"/>
    </row>
    <row r="126" customFormat="false" ht="15" hidden="false" customHeight="false" outlineLevel="0" collapsed="false">
      <c r="A126" s="2" t="s">
        <v>843</v>
      </c>
      <c r="B126" s="2" t="s">
        <v>44</v>
      </c>
      <c r="C126" s="2" t="s">
        <v>47</v>
      </c>
      <c r="D126" s="2" t="s">
        <v>844</v>
      </c>
      <c r="E126" s="2" t="s">
        <v>671</v>
      </c>
      <c r="F126" s="2" t="s">
        <v>25</v>
      </c>
      <c r="G126" s="2" t="s">
        <v>845</v>
      </c>
      <c r="H126" s="32" t="n">
        <v>898</v>
      </c>
      <c r="I126" s="32" t="n">
        <v>898</v>
      </c>
      <c r="J126" s="33" t="n">
        <v>0.14</v>
      </c>
      <c r="K126" s="32" t="n">
        <v>125.72</v>
      </c>
      <c r="L126" s="12" t="n">
        <f aca="false">ROUND(I126*J126,2)</f>
        <v>125.72</v>
      </c>
      <c r="M126" s="12" t="n">
        <f aca="false">K126-L126</f>
        <v>0</v>
      </c>
      <c r="N126" s="12" t="n">
        <f aca="false">IF(F126="Promotional Incentive",0,I126)</f>
        <v>898</v>
      </c>
      <c r="O126" s="12" t="n">
        <f aca="false">IF(F126="Promotional Incentive",0,K126)</f>
        <v>125.72</v>
      </c>
      <c r="P126" s="11" t="s">
        <v>645</v>
      </c>
      <c r="Q126" s="2"/>
    </row>
    <row r="127" customFormat="false" ht="15" hidden="false" customHeight="false" outlineLevel="0" collapsed="false">
      <c r="A127" s="2" t="s">
        <v>846</v>
      </c>
      <c r="B127" s="2" t="s">
        <v>44</v>
      </c>
      <c r="C127" s="2" t="s">
        <v>47</v>
      </c>
      <c r="D127" s="2" t="s">
        <v>847</v>
      </c>
      <c r="E127" s="2" t="s">
        <v>848</v>
      </c>
      <c r="F127" s="2" t="s">
        <v>644</v>
      </c>
      <c r="G127" s="2" t="s">
        <v>608</v>
      </c>
      <c r="H127" s="32" t="n">
        <v>113</v>
      </c>
      <c r="I127" s="32" t="n">
        <v>113</v>
      </c>
      <c r="J127" s="33" t="n">
        <v>0.12</v>
      </c>
      <c r="K127" s="32" t="n">
        <v>13.56</v>
      </c>
      <c r="L127" s="12" t="n">
        <f aca="false">ROUND(I127*J127,2)</f>
        <v>13.56</v>
      </c>
      <c r="M127" s="12" t="n">
        <f aca="false">K127-L127</f>
        <v>0</v>
      </c>
      <c r="N127" s="12" t="n">
        <f aca="false">IF(F127="Promotional Incentive",0,I127)</f>
        <v>113</v>
      </c>
      <c r="O127" s="12" t="n">
        <f aca="false">IF(F127="Promotional Incentive",0,K127)</f>
        <v>13.56</v>
      </c>
      <c r="P127" s="11" t="s">
        <v>645</v>
      </c>
      <c r="Q127" s="2"/>
    </row>
    <row r="128" customFormat="false" ht="15" hidden="false" customHeight="false" outlineLevel="0" collapsed="false">
      <c r="A128" s="2" t="s">
        <v>846</v>
      </c>
      <c r="B128" s="2" t="s">
        <v>44</v>
      </c>
      <c r="C128" s="2" t="s">
        <v>47</v>
      </c>
      <c r="D128" s="2" t="s">
        <v>847</v>
      </c>
      <c r="E128" s="2" t="s">
        <v>848</v>
      </c>
      <c r="F128" s="2" t="s">
        <v>25</v>
      </c>
      <c r="G128" s="2" t="s">
        <v>608</v>
      </c>
      <c r="H128" s="32" t="n">
        <v>544</v>
      </c>
      <c r="I128" s="32" t="n">
        <v>544</v>
      </c>
      <c r="J128" s="33" t="n">
        <v>0.12</v>
      </c>
      <c r="K128" s="32" t="n">
        <v>65.28</v>
      </c>
      <c r="L128" s="12" t="n">
        <f aca="false">ROUND(I128*J128,2)</f>
        <v>65.28</v>
      </c>
      <c r="M128" s="12" t="n">
        <f aca="false">K128-L128</f>
        <v>0</v>
      </c>
      <c r="N128" s="12" t="n">
        <f aca="false">IF(F128="Promotional Incentive",0,I128)</f>
        <v>544</v>
      </c>
      <c r="O128" s="12" t="n">
        <f aca="false">IF(F128="Promotional Incentive",0,K128)</f>
        <v>65.28</v>
      </c>
      <c r="P128" s="11" t="s">
        <v>645</v>
      </c>
      <c r="Q128" s="2"/>
    </row>
    <row r="129" customFormat="false" ht="15" hidden="false" customHeight="false" outlineLevel="0" collapsed="false">
      <c r="A129" s="2" t="s">
        <v>849</v>
      </c>
      <c r="B129" s="2" t="s">
        <v>44</v>
      </c>
      <c r="C129" s="2" t="s">
        <v>47</v>
      </c>
      <c r="D129" s="2" t="s">
        <v>850</v>
      </c>
      <c r="E129" s="2" t="s">
        <v>851</v>
      </c>
      <c r="F129" s="2" t="s">
        <v>25</v>
      </c>
      <c r="G129" s="2" t="s">
        <v>608</v>
      </c>
      <c r="H129" s="32" t="n">
        <v>425</v>
      </c>
      <c r="I129" s="32" t="n">
        <v>425</v>
      </c>
      <c r="J129" s="33" t="n">
        <v>0.12</v>
      </c>
      <c r="K129" s="32" t="n">
        <v>51</v>
      </c>
      <c r="L129" s="12" t="n">
        <f aca="false">ROUND(I129*J129,2)</f>
        <v>51</v>
      </c>
      <c r="M129" s="12" t="n">
        <f aca="false">K129-L129</f>
        <v>0</v>
      </c>
      <c r="N129" s="12" t="n">
        <f aca="false">IF(F129="Promotional Incentive",0,I129)</f>
        <v>425</v>
      </c>
      <c r="O129" s="12" t="n">
        <f aca="false">IF(F129="Promotional Incentive",0,K129)</f>
        <v>51</v>
      </c>
      <c r="P129" s="11" t="s">
        <v>645</v>
      </c>
      <c r="Q129" s="2"/>
    </row>
    <row r="130" customFormat="false" ht="15" hidden="false" customHeight="false" outlineLevel="0" collapsed="false">
      <c r="A130" s="2" t="s">
        <v>849</v>
      </c>
      <c r="B130" s="2" t="s">
        <v>44</v>
      </c>
      <c r="C130" s="2" t="s">
        <v>47</v>
      </c>
      <c r="D130" s="2" t="s">
        <v>850</v>
      </c>
      <c r="E130" s="2" t="s">
        <v>851</v>
      </c>
      <c r="F130" s="2" t="s">
        <v>25</v>
      </c>
      <c r="G130" s="2" t="s">
        <v>618</v>
      </c>
      <c r="H130" s="32" t="n">
        <v>395</v>
      </c>
      <c r="I130" s="32" t="n">
        <v>395</v>
      </c>
      <c r="J130" s="33" t="n">
        <v>0.12</v>
      </c>
      <c r="K130" s="32" t="n">
        <v>47.4</v>
      </c>
      <c r="L130" s="12" t="n">
        <f aca="false">ROUND(I130*J130,2)</f>
        <v>47.4</v>
      </c>
      <c r="M130" s="12" t="n">
        <f aca="false">K130-L130</f>
        <v>0</v>
      </c>
      <c r="N130" s="12" t="n">
        <f aca="false">IF(F130="Promotional Incentive",0,I130)</f>
        <v>395</v>
      </c>
      <c r="O130" s="12" t="n">
        <f aca="false">IF(F130="Promotional Incentive",0,K130)</f>
        <v>47.4</v>
      </c>
      <c r="P130" s="11" t="s">
        <v>645</v>
      </c>
      <c r="Q130" s="2"/>
    </row>
    <row r="131" customFormat="false" ht="15" hidden="false" customHeight="false" outlineLevel="0" collapsed="false">
      <c r="A131" s="2" t="s">
        <v>849</v>
      </c>
      <c r="B131" s="2" t="s">
        <v>44</v>
      </c>
      <c r="C131" s="2" t="s">
        <v>47</v>
      </c>
      <c r="D131" s="2" t="s">
        <v>850</v>
      </c>
      <c r="E131" s="2" t="s">
        <v>852</v>
      </c>
      <c r="F131" s="2" t="s">
        <v>682</v>
      </c>
      <c r="G131" s="2" t="s">
        <v>618</v>
      </c>
      <c r="H131" s="32" t="n">
        <v>-395</v>
      </c>
      <c r="I131" s="32" t="n">
        <v>-395</v>
      </c>
      <c r="J131" s="33" t="n">
        <v>0.12</v>
      </c>
      <c r="K131" s="32" t="n">
        <v>-47.4</v>
      </c>
      <c r="L131" s="12" t="n">
        <f aca="false">ROUND(I131*J131,2)</f>
        <v>-47.4</v>
      </c>
      <c r="M131" s="12" t="n">
        <f aca="false">K131-L131</f>
        <v>0</v>
      </c>
      <c r="N131" s="12" t="n">
        <f aca="false">IF(F131="Promotional Incentive",0,I131)</f>
        <v>-395</v>
      </c>
      <c r="O131" s="12" t="n">
        <f aca="false">IF(F131="Promotional Incentive",0,K131)</f>
        <v>-47.4</v>
      </c>
      <c r="P131" s="11" t="s">
        <v>645</v>
      </c>
      <c r="Q131" s="2"/>
    </row>
    <row r="132" customFormat="false" ht="15" hidden="false" customHeight="false" outlineLevel="0" collapsed="false">
      <c r="A132" s="2" t="s">
        <v>853</v>
      </c>
      <c r="B132" s="2" t="s">
        <v>44</v>
      </c>
      <c r="C132" s="2" t="s">
        <v>47</v>
      </c>
      <c r="D132" s="2" t="s">
        <v>854</v>
      </c>
      <c r="E132" s="2" t="s">
        <v>855</v>
      </c>
      <c r="F132" s="2" t="s">
        <v>25</v>
      </c>
      <c r="G132" s="2" t="s">
        <v>608</v>
      </c>
      <c r="H132" s="32" t="n">
        <v>462</v>
      </c>
      <c r="I132" s="32" t="n">
        <v>462</v>
      </c>
      <c r="J132" s="33" t="n">
        <v>0.14</v>
      </c>
      <c r="K132" s="32" t="n">
        <v>64.68</v>
      </c>
      <c r="L132" s="12" t="n">
        <f aca="false">ROUND(I132*J132,2)</f>
        <v>64.68</v>
      </c>
      <c r="M132" s="12" t="n">
        <f aca="false">K132-L132</f>
        <v>0</v>
      </c>
      <c r="N132" s="12" t="n">
        <f aca="false">IF(F132="Promotional Incentive",0,I132)</f>
        <v>462</v>
      </c>
      <c r="O132" s="12" t="n">
        <f aca="false">IF(F132="Promotional Incentive",0,K132)</f>
        <v>64.68</v>
      </c>
      <c r="P132" s="11" t="s">
        <v>645</v>
      </c>
      <c r="Q132" s="2"/>
    </row>
    <row r="133" customFormat="false" ht="15" hidden="false" customHeight="false" outlineLevel="0" collapsed="false">
      <c r="A133" s="2" t="s">
        <v>856</v>
      </c>
      <c r="B133" s="2" t="s">
        <v>44</v>
      </c>
      <c r="C133" s="2" t="s">
        <v>47</v>
      </c>
      <c r="D133" s="2" t="s">
        <v>857</v>
      </c>
      <c r="E133" s="2" t="s">
        <v>858</v>
      </c>
      <c r="F133" s="2" t="s">
        <v>25</v>
      </c>
      <c r="G133" s="2" t="s">
        <v>608</v>
      </c>
      <c r="H133" s="32" t="n">
        <v>644</v>
      </c>
      <c r="I133" s="32" t="n">
        <v>644</v>
      </c>
      <c r="J133" s="33" t="n">
        <v>0.14</v>
      </c>
      <c r="K133" s="32" t="n">
        <v>90.16</v>
      </c>
      <c r="L133" s="12" t="n">
        <f aca="false">ROUND(I133*J133,2)</f>
        <v>90.16</v>
      </c>
      <c r="M133" s="12" t="n">
        <f aca="false">K133-L133</f>
        <v>0</v>
      </c>
      <c r="N133" s="12" t="n">
        <f aca="false">IF(F133="Promotional Incentive",0,I133)</f>
        <v>644</v>
      </c>
      <c r="O133" s="12" t="n">
        <f aca="false">IF(F133="Promotional Incentive",0,K133)</f>
        <v>90.16</v>
      </c>
      <c r="P133" s="11" t="s">
        <v>645</v>
      </c>
      <c r="Q133" s="2"/>
    </row>
    <row r="134" customFormat="false" ht="15" hidden="false" customHeight="false" outlineLevel="0" collapsed="false">
      <c r="A134" s="2" t="s">
        <v>856</v>
      </c>
      <c r="B134" s="2" t="s">
        <v>44</v>
      </c>
      <c r="C134" s="2" t="s">
        <v>47</v>
      </c>
      <c r="D134" s="2" t="s">
        <v>857</v>
      </c>
      <c r="E134" s="2" t="s">
        <v>858</v>
      </c>
      <c r="F134" s="2" t="s">
        <v>644</v>
      </c>
      <c r="G134" s="2" t="s">
        <v>618</v>
      </c>
      <c r="H134" s="32" t="n">
        <v>159.4</v>
      </c>
      <c r="I134" s="32" t="n">
        <v>159.4</v>
      </c>
      <c r="J134" s="33" t="n">
        <v>0.14</v>
      </c>
      <c r="K134" s="32" t="n">
        <v>22.32</v>
      </c>
      <c r="L134" s="12" t="n">
        <f aca="false">ROUND(I134*J134,2)</f>
        <v>22.32</v>
      </c>
      <c r="M134" s="12" t="n">
        <f aca="false">K134-L134</f>
        <v>0</v>
      </c>
      <c r="N134" s="12" t="n">
        <f aca="false">IF(F134="Promotional Incentive",0,I134)</f>
        <v>159.4</v>
      </c>
      <c r="O134" s="12" t="n">
        <f aca="false">IF(F134="Promotional Incentive",0,K134)</f>
        <v>22.32</v>
      </c>
      <c r="P134" s="11" t="s">
        <v>645</v>
      </c>
      <c r="Q134" s="2"/>
    </row>
    <row r="135" customFormat="false" ht="15" hidden="false" customHeight="false" outlineLevel="0" collapsed="false">
      <c r="A135" s="2" t="s">
        <v>859</v>
      </c>
      <c r="B135" s="2" t="s">
        <v>44</v>
      </c>
      <c r="C135" s="2" t="s">
        <v>47</v>
      </c>
      <c r="D135" s="2" t="s">
        <v>860</v>
      </c>
      <c r="E135" s="2" t="s">
        <v>861</v>
      </c>
      <c r="F135" s="2" t="s">
        <v>25</v>
      </c>
      <c r="G135" s="2" t="s">
        <v>823</v>
      </c>
      <c r="H135" s="32" t="n">
        <v>1337</v>
      </c>
      <c r="I135" s="32" t="n">
        <v>1337</v>
      </c>
      <c r="J135" s="33" t="n">
        <v>0.12</v>
      </c>
      <c r="K135" s="32" t="n">
        <v>160.44</v>
      </c>
      <c r="L135" s="12" t="n">
        <f aca="false">ROUND(I135*J135,2)</f>
        <v>160.44</v>
      </c>
      <c r="M135" s="12" t="n">
        <f aca="false">K135-L135</f>
        <v>0</v>
      </c>
      <c r="N135" s="12" t="n">
        <f aca="false">IF(F135="Promotional Incentive",0,I135)</f>
        <v>1337</v>
      </c>
      <c r="O135" s="12" t="n">
        <f aca="false">IF(F135="Promotional Incentive",0,K135)</f>
        <v>160.44</v>
      </c>
      <c r="P135" s="11" t="s">
        <v>645</v>
      </c>
      <c r="Q135" s="2"/>
    </row>
    <row r="136" customFormat="false" ht="15" hidden="false" customHeight="false" outlineLevel="0" collapsed="false">
      <c r="A136" s="2" t="s">
        <v>862</v>
      </c>
      <c r="B136" s="2" t="s">
        <v>44</v>
      </c>
      <c r="C136" s="2" t="s">
        <v>47</v>
      </c>
      <c r="D136" s="2" t="s">
        <v>863</v>
      </c>
      <c r="E136" s="2" t="s">
        <v>864</v>
      </c>
      <c r="F136" s="2" t="s">
        <v>25</v>
      </c>
      <c r="G136" s="2" t="s">
        <v>823</v>
      </c>
      <c r="H136" s="32" t="n">
        <v>1726</v>
      </c>
      <c r="I136" s="32" t="n">
        <v>1726</v>
      </c>
      <c r="J136" s="33" t="n">
        <v>0.12</v>
      </c>
      <c r="K136" s="32" t="n">
        <v>207.12</v>
      </c>
      <c r="L136" s="12" t="n">
        <f aca="false">ROUND(I136*J136,2)</f>
        <v>207.12</v>
      </c>
      <c r="M136" s="12" t="n">
        <f aca="false">K136-L136</f>
        <v>0</v>
      </c>
      <c r="N136" s="12" t="n">
        <f aca="false">IF(F136="Promotional Incentive",0,I136)</f>
        <v>1726</v>
      </c>
      <c r="O136" s="12" t="n">
        <f aca="false">IF(F136="Promotional Incentive",0,K136)</f>
        <v>207.12</v>
      </c>
      <c r="P136" s="11" t="s">
        <v>645</v>
      </c>
      <c r="Q136" s="2"/>
    </row>
    <row r="137" customFormat="false" ht="15" hidden="false" customHeight="false" outlineLevel="0" collapsed="false">
      <c r="A137" s="2" t="s">
        <v>865</v>
      </c>
      <c r="B137" s="2" t="s">
        <v>44</v>
      </c>
      <c r="C137" s="2" t="s">
        <v>47</v>
      </c>
      <c r="D137" s="2" t="s">
        <v>866</v>
      </c>
      <c r="E137" s="2" t="s">
        <v>867</v>
      </c>
      <c r="F137" s="2" t="s">
        <v>25</v>
      </c>
      <c r="G137" s="2" t="s">
        <v>618</v>
      </c>
      <c r="H137" s="32" t="n">
        <v>629</v>
      </c>
      <c r="I137" s="32" t="n">
        <v>629</v>
      </c>
      <c r="J137" s="33" t="n">
        <v>0.1</v>
      </c>
      <c r="K137" s="32" t="n">
        <v>62.9</v>
      </c>
      <c r="L137" s="12" t="n">
        <f aca="false">ROUND(I137*J137,2)</f>
        <v>62.9</v>
      </c>
      <c r="M137" s="12" t="n">
        <f aca="false">K137-L137</f>
        <v>0</v>
      </c>
      <c r="N137" s="12" t="n">
        <f aca="false">IF(F137="Promotional Incentive",0,I137)</f>
        <v>629</v>
      </c>
      <c r="O137" s="12" t="n">
        <f aca="false">IF(F137="Promotional Incentive",0,K137)</f>
        <v>62.9</v>
      </c>
      <c r="P137" s="11" t="s">
        <v>645</v>
      </c>
      <c r="Q137" s="2"/>
    </row>
    <row r="138" customFormat="false" ht="15" hidden="false" customHeight="false" outlineLevel="0" collapsed="false">
      <c r="A138" s="2" t="s">
        <v>865</v>
      </c>
      <c r="B138" s="2" t="s">
        <v>44</v>
      </c>
      <c r="C138" s="2" t="s">
        <v>47</v>
      </c>
      <c r="D138" s="2" t="s">
        <v>866</v>
      </c>
      <c r="E138" s="2" t="s">
        <v>867</v>
      </c>
      <c r="F138" s="2" t="s">
        <v>597</v>
      </c>
      <c r="G138" s="2" t="s">
        <v>618</v>
      </c>
      <c r="H138" s="32" t="n">
        <v>-65</v>
      </c>
      <c r="I138" s="32" t="n">
        <v>-65</v>
      </c>
      <c r="J138" s="33" t="n">
        <v>0.1</v>
      </c>
      <c r="K138" s="32" t="n">
        <v>-6.5</v>
      </c>
      <c r="L138" s="12" t="n">
        <f aca="false">ROUND(I138*J138,2)</f>
        <v>-6.5</v>
      </c>
      <c r="M138" s="12" t="n">
        <f aca="false">K138-L138</f>
        <v>0</v>
      </c>
      <c r="N138" s="12" t="n">
        <f aca="false">IF(F138="Promotional Incentive",0,I138)</f>
        <v>-65</v>
      </c>
      <c r="O138" s="12" t="n">
        <f aca="false">IF(F138="Promotional Incentive",0,K138)</f>
        <v>-6.5</v>
      </c>
      <c r="P138" s="11" t="s">
        <v>645</v>
      </c>
      <c r="Q138" s="2"/>
    </row>
    <row r="139" customFormat="false" ht="15" hidden="false" customHeight="false" outlineLevel="0" collapsed="false">
      <c r="A139" s="2" t="s">
        <v>865</v>
      </c>
      <c r="B139" s="2" t="s">
        <v>44</v>
      </c>
      <c r="C139" s="2" t="s">
        <v>47</v>
      </c>
      <c r="D139" s="2" t="s">
        <v>866</v>
      </c>
      <c r="E139" s="2" t="s">
        <v>867</v>
      </c>
      <c r="F139" s="2" t="s">
        <v>644</v>
      </c>
      <c r="G139" s="2" t="s">
        <v>506</v>
      </c>
      <c r="H139" s="32" t="n">
        <v>1276.57</v>
      </c>
      <c r="I139" s="32" t="n">
        <v>1276.57</v>
      </c>
      <c r="J139" s="33" t="n">
        <v>0.1</v>
      </c>
      <c r="K139" s="32" t="n">
        <v>127.66</v>
      </c>
      <c r="L139" s="12" t="n">
        <f aca="false">ROUND(I139*J139,2)</f>
        <v>127.66</v>
      </c>
      <c r="M139" s="12" t="n">
        <f aca="false">K139-L139</f>
        <v>0</v>
      </c>
      <c r="N139" s="12" t="n">
        <f aca="false">IF(F139="Promotional Incentive",0,I139)</f>
        <v>1276.57</v>
      </c>
      <c r="O139" s="12" t="n">
        <f aca="false">IF(F139="Promotional Incentive",0,K139)</f>
        <v>127.66</v>
      </c>
      <c r="P139" s="11" t="s">
        <v>645</v>
      </c>
      <c r="Q139" s="2"/>
    </row>
    <row r="140" customFormat="false" ht="15" hidden="false" customHeight="false" outlineLevel="0" collapsed="false">
      <c r="A140" s="2" t="s">
        <v>868</v>
      </c>
      <c r="B140" s="2" t="s">
        <v>44</v>
      </c>
      <c r="C140" s="2" t="s">
        <v>47</v>
      </c>
      <c r="D140" s="2" t="s">
        <v>869</v>
      </c>
      <c r="E140" s="2" t="s">
        <v>870</v>
      </c>
      <c r="F140" s="2" t="s">
        <v>644</v>
      </c>
      <c r="G140" s="2" t="s">
        <v>620</v>
      </c>
      <c r="H140" s="32" t="n">
        <v>221</v>
      </c>
      <c r="I140" s="32" t="n">
        <v>221</v>
      </c>
      <c r="J140" s="33" t="n">
        <v>0.12</v>
      </c>
      <c r="K140" s="32" t="n">
        <v>26.52</v>
      </c>
      <c r="L140" s="12" t="n">
        <f aca="false">ROUND(I140*J140,2)</f>
        <v>26.52</v>
      </c>
      <c r="M140" s="12" t="n">
        <f aca="false">K140-L140</f>
        <v>0</v>
      </c>
      <c r="N140" s="12" t="n">
        <f aca="false">IF(F140="Promotional Incentive",0,I140)</f>
        <v>221</v>
      </c>
      <c r="O140" s="12" t="n">
        <f aca="false">IF(F140="Promotional Incentive",0,K140)</f>
        <v>26.52</v>
      </c>
      <c r="P140" s="11" t="s">
        <v>645</v>
      </c>
      <c r="Q140" s="2"/>
    </row>
    <row r="141" customFormat="false" ht="15" hidden="false" customHeight="false" outlineLevel="0" collapsed="false">
      <c r="A141" s="2" t="s">
        <v>868</v>
      </c>
      <c r="B141" s="2" t="s">
        <v>44</v>
      </c>
      <c r="C141" s="2" t="s">
        <v>47</v>
      </c>
      <c r="D141" s="2" t="s">
        <v>869</v>
      </c>
      <c r="E141" s="2" t="s">
        <v>870</v>
      </c>
      <c r="F141" s="2" t="s">
        <v>25</v>
      </c>
      <c r="G141" s="2" t="s">
        <v>620</v>
      </c>
      <c r="H141" s="32" t="n">
        <v>1093</v>
      </c>
      <c r="I141" s="32" t="n">
        <v>1093</v>
      </c>
      <c r="J141" s="33" t="n">
        <v>0.12</v>
      </c>
      <c r="K141" s="32" t="n">
        <v>131.16</v>
      </c>
      <c r="L141" s="12" t="n">
        <f aca="false">ROUND(I141*J141,2)</f>
        <v>131.16</v>
      </c>
      <c r="M141" s="12" t="n">
        <f aca="false">K141-L141</f>
        <v>0</v>
      </c>
      <c r="N141" s="12" t="n">
        <f aca="false">IF(F141="Promotional Incentive",0,I141)</f>
        <v>1093</v>
      </c>
      <c r="O141" s="12" t="n">
        <f aca="false">IF(F141="Promotional Incentive",0,K141)</f>
        <v>131.16</v>
      </c>
      <c r="P141" s="11" t="s">
        <v>645</v>
      </c>
      <c r="Q141" s="2"/>
    </row>
    <row r="142" customFormat="false" ht="15" hidden="false" customHeight="false" outlineLevel="0" collapsed="false">
      <c r="A142" s="2" t="s">
        <v>871</v>
      </c>
      <c r="B142" s="2" t="s">
        <v>44</v>
      </c>
      <c r="C142" s="2" t="s">
        <v>47</v>
      </c>
      <c r="D142" s="2" t="s">
        <v>872</v>
      </c>
      <c r="E142" s="2" t="s">
        <v>873</v>
      </c>
      <c r="F142" s="2" t="s">
        <v>25</v>
      </c>
      <c r="G142" s="2" t="s">
        <v>874</v>
      </c>
      <c r="H142" s="32" t="n">
        <v>693</v>
      </c>
      <c r="I142" s="32" t="n">
        <v>693</v>
      </c>
      <c r="J142" s="33" t="n">
        <v>0.12</v>
      </c>
      <c r="K142" s="32" t="n">
        <v>83.16</v>
      </c>
      <c r="L142" s="12" t="n">
        <f aca="false">ROUND(I142*J142,2)</f>
        <v>83.16</v>
      </c>
      <c r="M142" s="12" t="n">
        <f aca="false">K142-L142</f>
        <v>0</v>
      </c>
      <c r="N142" s="12" t="n">
        <f aca="false">IF(F142="Promotional Incentive",0,I142)</f>
        <v>693</v>
      </c>
      <c r="O142" s="12" t="n">
        <f aca="false">IF(F142="Promotional Incentive",0,K142)</f>
        <v>83.16</v>
      </c>
      <c r="P142" s="11" t="s">
        <v>645</v>
      </c>
      <c r="Q142" s="2"/>
    </row>
    <row r="143" customFormat="false" ht="15" hidden="false" customHeight="false" outlineLevel="0" collapsed="false">
      <c r="A143" s="2" t="s">
        <v>871</v>
      </c>
      <c r="B143" s="2" t="s">
        <v>44</v>
      </c>
      <c r="C143" s="2" t="s">
        <v>47</v>
      </c>
      <c r="D143" s="2" t="s">
        <v>872</v>
      </c>
      <c r="E143" s="2" t="s">
        <v>873</v>
      </c>
      <c r="F143" s="2" t="s">
        <v>597</v>
      </c>
      <c r="G143" s="2" t="s">
        <v>874</v>
      </c>
      <c r="H143" s="32" t="n">
        <v>-39</v>
      </c>
      <c r="I143" s="32" t="n">
        <v>-39</v>
      </c>
      <c r="J143" s="33" t="n">
        <v>0.12</v>
      </c>
      <c r="K143" s="32" t="n">
        <v>-4.68</v>
      </c>
      <c r="L143" s="12" t="n">
        <f aca="false">ROUND(I143*J143,2)</f>
        <v>-4.68</v>
      </c>
      <c r="M143" s="12" t="n">
        <f aca="false">K143-L143</f>
        <v>0</v>
      </c>
      <c r="N143" s="12" t="n">
        <f aca="false">IF(F143="Promotional Incentive",0,I143)</f>
        <v>-39</v>
      </c>
      <c r="O143" s="12" t="n">
        <f aca="false">IF(F143="Promotional Incentive",0,K143)</f>
        <v>-4.68</v>
      </c>
      <c r="P143" s="11" t="s">
        <v>645</v>
      </c>
      <c r="Q143" s="2"/>
    </row>
    <row r="144" customFormat="false" ht="15" hidden="false" customHeight="false" outlineLevel="0" collapsed="false">
      <c r="A144" s="2" t="s">
        <v>875</v>
      </c>
      <c r="B144" s="2" t="s">
        <v>44</v>
      </c>
      <c r="C144" s="2" t="s">
        <v>47</v>
      </c>
      <c r="D144" s="2" t="s">
        <v>876</v>
      </c>
      <c r="E144" s="2" t="s">
        <v>877</v>
      </c>
      <c r="F144" s="2" t="s">
        <v>644</v>
      </c>
      <c r="G144" s="2" t="s">
        <v>874</v>
      </c>
      <c r="H144" s="32" t="n">
        <v>67</v>
      </c>
      <c r="I144" s="32" t="n">
        <v>67</v>
      </c>
      <c r="J144" s="33" t="n">
        <v>0.12</v>
      </c>
      <c r="K144" s="32" t="n">
        <v>8.04</v>
      </c>
      <c r="L144" s="12" t="n">
        <f aca="false">ROUND(I144*J144,2)</f>
        <v>8.04</v>
      </c>
      <c r="M144" s="12" t="n">
        <f aca="false">K144-L144</f>
        <v>0</v>
      </c>
      <c r="N144" s="12" t="n">
        <f aca="false">IF(F144="Promotional Incentive",0,I144)</f>
        <v>67</v>
      </c>
      <c r="O144" s="12" t="n">
        <f aca="false">IF(F144="Promotional Incentive",0,K144)</f>
        <v>8.04</v>
      </c>
      <c r="P144" s="11" t="s">
        <v>645</v>
      </c>
      <c r="Q144" s="2"/>
    </row>
    <row r="145" customFormat="false" ht="15" hidden="false" customHeight="false" outlineLevel="0" collapsed="false">
      <c r="A145" s="2" t="s">
        <v>875</v>
      </c>
      <c r="B145" s="2" t="s">
        <v>44</v>
      </c>
      <c r="C145" s="2" t="s">
        <v>47</v>
      </c>
      <c r="D145" s="2" t="s">
        <v>876</v>
      </c>
      <c r="E145" s="2" t="s">
        <v>877</v>
      </c>
      <c r="F145" s="2" t="s">
        <v>25</v>
      </c>
      <c r="G145" s="2" t="s">
        <v>874</v>
      </c>
      <c r="H145" s="32" t="n">
        <v>663</v>
      </c>
      <c r="I145" s="32" t="n">
        <v>663</v>
      </c>
      <c r="J145" s="33" t="n">
        <v>0.12</v>
      </c>
      <c r="K145" s="32" t="n">
        <v>79.56</v>
      </c>
      <c r="L145" s="12" t="n">
        <f aca="false">ROUND(I145*J145,2)</f>
        <v>79.56</v>
      </c>
      <c r="M145" s="12" t="n">
        <f aca="false">K145-L145</f>
        <v>0</v>
      </c>
      <c r="N145" s="12" t="n">
        <f aca="false">IF(F145="Promotional Incentive",0,I145)</f>
        <v>663</v>
      </c>
      <c r="O145" s="12" t="n">
        <f aca="false">IF(F145="Promotional Incentive",0,K145)</f>
        <v>79.56</v>
      </c>
      <c r="P145" s="11" t="s">
        <v>645</v>
      </c>
      <c r="Q145" s="2"/>
    </row>
    <row r="146" customFormat="false" ht="15" hidden="false" customHeight="false" outlineLevel="0" collapsed="false">
      <c r="A146" s="2" t="s">
        <v>878</v>
      </c>
      <c r="B146" s="2" t="s">
        <v>44</v>
      </c>
      <c r="C146" s="2" t="s">
        <v>47</v>
      </c>
      <c r="D146" s="2" t="s">
        <v>879</v>
      </c>
      <c r="E146" s="2" t="s">
        <v>880</v>
      </c>
      <c r="F146" s="2" t="s">
        <v>25</v>
      </c>
      <c r="G146" s="2" t="s">
        <v>750</v>
      </c>
      <c r="H146" s="32" t="n">
        <v>1024</v>
      </c>
      <c r="I146" s="32" t="n">
        <v>1024</v>
      </c>
      <c r="J146" s="33" t="n">
        <v>0.12</v>
      </c>
      <c r="K146" s="32" t="n">
        <v>122.88</v>
      </c>
      <c r="L146" s="12" t="n">
        <f aca="false">ROUND(I146*J146,2)</f>
        <v>122.88</v>
      </c>
      <c r="M146" s="12" t="n">
        <f aca="false">K146-L146</f>
        <v>0</v>
      </c>
      <c r="N146" s="12" t="n">
        <f aca="false">IF(F146="Promotional Incentive",0,I146)</f>
        <v>1024</v>
      </c>
      <c r="O146" s="12" t="n">
        <f aca="false">IF(F146="Promotional Incentive",0,K146)</f>
        <v>122.88</v>
      </c>
      <c r="P146" s="11" t="s">
        <v>645</v>
      </c>
      <c r="Q146" s="2"/>
    </row>
    <row r="147" customFormat="false" ht="15" hidden="false" customHeight="false" outlineLevel="0" collapsed="false">
      <c r="A147" s="2" t="s">
        <v>881</v>
      </c>
      <c r="B147" s="2" t="s">
        <v>44</v>
      </c>
      <c r="C147" s="2" t="s">
        <v>47</v>
      </c>
      <c r="D147" s="2" t="s">
        <v>882</v>
      </c>
      <c r="E147" s="2" t="s">
        <v>883</v>
      </c>
      <c r="F147" s="2" t="s">
        <v>25</v>
      </c>
      <c r="G147" s="2" t="s">
        <v>747</v>
      </c>
      <c r="H147" s="32" t="n">
        <v>542</v>
      </c>
      <c r="I147" s="32" t="n">
        <v>542</v>
      </c>
      <c r="J147" s="33" t="n">
        <v>0.12</v>
      </c>
      <c r="K147" s="32" t="n">
        <v>65.04</v>
      </c>
      <c r="L147" s="12" t="n">
        <f aca="false">ROUND(I147*J147,2)</f>
        <v>65.04</v>
      </c>
      <c r="M147" s="12" t="n">
        <f aca="false">K147-L147</f>
        <v>0</v>
      </c>
      <c r="N147" s="12" t="n">
        <f aca="false">IF(F147="Promotional Incentive",0,I147)</f>
        <v>542</v>
      </c>
      <c r="O147" s="12" t="n">
        <f aca="false">IF(F147="Promotional Incentive",0,K147)</f>
        <v>65.04</v>
      </c>
      <c r="P147" s="11" t="s">
        <v>645</v>
      </c>
      <c r="Q147" s="2"/>
    </row>
    <row r="148" customFormat="false" ht="15" hidden="false" customHeight="false" outlineLevel="0" collapsed="false">
      <c r="A148" s="2" t="s">
        <v>884</v>
      </c>
      <c r="B148" s="2" t="s">
        <v>44</v>
      </c>
      <c r="C148" s="2" t="s">
        <v>47</v>
      </c>
      <c r="D148" s="2" t="s">
        <v>329</v>
      </c>
      <c r="E148" s="2" t="s">
        <v>885</v>
      </c>
      <c r="F148" s="2" t="s">
        <v>597</v>
      </c>
      <c r="G148" s="2" t="s">
        <v>750</v>
      </c>
      <c r="H148" s="32" t="n">
        <v>-177</v>
      </c>
      <c r="I148" s="32" t="n">
        <v>-177</v>
      </c>
      <c r="J148" s="33" t="n">
        <v>0.12</v>
      </c>
      <c r="K148" s="32" t="n">
        <v>-21.24</v>
      </c>
      <c r="L148" s="12" t="n">
        <f aca="false">ROUND(I148*J148,2)</f>
        <v>-21.24</v>
      </c>
      <c r="M148" s="12" t="n">
        <f aca="false">K148-L148</f>
        <v>0</v>
      </c>
      <c r="N148" s="12" t="n">
        <f aca="false">IF(F148="Promotional Incentive",0,I148)</f>
        <v>-177</v>
      </c>
      <c r="O148" s="12" t="n">
        <f aca="false">IF(F148="Promotional Incentive",0,K148)</f>
        <v>-21.24</v>
      </c>
      <c r="P148" s="11" t="s">
        <v>645</v>
      </c>
      <c r="Q148" s="2"/>
    </row>
    <row r="149" customFormat="false" ht="15" hidden="false" customHeight="false" outlineLevel="0" collapsed="false">
      <c r="A149" s="2" t="s">
        <v>884</v>
      </c>
      <c r="B149" s="2" t="s">
        <v>44</v>
      </c>
      <c r="C149" s="2" t="s">
        <v>47</v>
      </c>
      <c r="D149" s="2" t="s">
        <v>329</v>
      </c>
      <c r="E149" s="2" t="s">
        <v>885</v>
      </c>
      <c r="F149" s="2" t="s">
        <v>25</v>
      </c>
      <c r="G149" s="2" t="s">
        <v>750</v>
      </c>
      <c r="H149" s="32" t="n">
        <v>1404</v>
      </c>
      <c r="I149" s="32" t="n">
        <v>1404</v>
      </c>
      <c r="J149" s="33" t="n">
        <v>0.12</v>
      </c>
      <c r="K149" s="32" t="n">
        <v>168.48</v>
      </c>
      <c r="L149" s="12" t="n">
        <f aca="false">ROUND(I149*J149,2)</f>
        <v>168.48</v>
      </c>
      <c r="M149" s="12" t="n">
        <f aca="false">K149-L149</f>
        <v>0</v>
      </c>
      <c r="N149" s="12" t="n">
        <f aca="false">IF(F149="Promotional Incentive",0,I149)</f>
        <v>1404</v>
      </c>
      <c r="O149" s="12" t="n">
        <f aca="false">IF(F149="Promotional Incentive",0,K149)</f>
        <v>168.48</v>
      </c>
      <c r="P149" s="11" t="s">
        <v>645</v>
      </c>
      <c r="Q149" s="2"/>
    </row>
    <row r="150" customFormat="false" ht="15" hidden="false" customHeight="false" outlineLevel="0" collapsed="false">
      <c r="A150" s="2" t="s">
        <v>886</v>
      </c>
      <c r="B150" s="2" t="s">
        <v>44</v>
      </c>
      <c r="C150" s="2" t="s">
        <v>47</v>
      </c>
      <c r="D150" s="2" t="s">
        <v>887</v>
      </c>
      <c r="E150" s="2" t="s">
        <v>888</v>
      </c>
      <c r="F150" s="2" t="s">
        <v>110</v>
      </c>
      <c r="G150" s="2" t="s">
        <v>760</v>
      </c>
      <c r="H150" s="32" t="n">
        <v>5117</v>
      </c>
      <c r="I150" s="32" t="n">
        <v>5117</v>
      </c>
      <c r="J150" s="33" t="n">
        <v>0.08</v>
      </c>
      <c r="K150" s="32" t="n">
        <v>409.36</v>
      </c>
      <c r="L150" s="12" t="n">
        <f aca="false">ROUND(I150*J150,2)</f>
        <v>409.36</v>
      </c>
      <c r="M150" s="12" t="n">
        <f aca="false">K150-L150</f>
        <v>0</v>
      </c>
      <c r="N150" s="12" t="n">
        <f aca="false">IF(F150="Promotional Incentive",0,I150)</f>
        <v>5117</v>
      </c>
      <c r="O150" s="12" t="n">
        <f aca="false">IF(F150="Promotional Incentive",0,K150)</f>
        <v>409.36</v>
      </c>
      <c r="P150" s="11" t="s">
        <v>645</v>
      </c>
      <c r="Q150" s="2"/>
    </row>
    <row r="151" customFormat="false" ht="15" hidden="false" customHeight="false" outlineLevel="0" collapsed="false">
      <c r="A151" s="2" t="s">
        <v>886</v>
      </c>
      <c r="B151" s="2" t="s">
        <v>44</v>
      </c>
      <c r="C151" s="2" t="s">
        <v>47</v>
      </c>
      <c r="D151" s="2" t="s">
        <v>887</v>
      </c>
      <c r="E151" s="2" t="s">
        <v>888</v>
      </c>
      <c r="F151" s="2" t="s">
        <v>597</v>
      </c>
      <c r="G151" s="2" t="s">
        <v>620</v>
      </c>
      <c r="H151" s="32" t="n">
        <v>-119.67</v>
      </c>
      <c r="I151" s="32" t="n">
        <v>-119.67</v>
      </c>
      <c r="J151" s="33" t="n">
        <v>0.08</v>
      </c>
      <c r="K151" s="32" t="n">
        <v>-9.57</v>
      </c>
      <c r="L151" s="12" t="n">
        <f aca="false">ROUND(I151*J151,2)</f>
        <v>-9.57</v>
      </c>
      <c r="M151" s="12" t="n">
        <f aca="false">K151-L151</f>
        <v>0</v>
      </c>
      <c r="N151" s="12" t="n">
        <f aca="false">IF(F151="Promotional Incentive",0,I151)</f>
        <v>-119.67</v>
      </c>
      <c r="O151" s="12" t="n">
        <f aca="false">IF(F151="Promotional Incentive",0,K151)</f>
        <v>-9.57</v>
      </c>
      <c r="P151" s="11" t="s">
        <v>645</v>
      </c>
      <c r="Q151" s="2"/>
    </row>
    <row r="152" customFormat="false" ht="15" hidden="false" customHeight="false" outlineLevel="0" collapsed="false">
      <c r="A152" s="2" t="s">
        <v>889</v>
      </c>
      <c r="B152" s="2" t="s">
        <v>44</v>
      </c>
      <c r="C152" s="2" t="s">
        <v>47</v>
      </c>
      <c r="D152" s="2" t="s">
        <v>890</v>
      </c>
      <c r="E152" s="2" t="s">
        <v>888</v>
      </c>
      <c r="F152" s="2" t="s">
        <v>110</v>
      </c>
      <c r="G152" s="2" t="s">
        <v>760</v>
      </c>
      <c r="H152" s="32" t="n">
        <v>1071</v>
      </c>
      <c r="I152" s="32" t="n">
        <v>1071</v>
      </c>
      <c r="J152" s="33" t="n">
        <v>0.1</v>
      </c>
      <c r="K152" s="32" t="n">
        <v>107.1</v>
      </c>
      <c r="L152" s="12" t="n">
        <f aca="false">ROUND(I152*J152,2)</f>
        <v>107.1</v>
      </c>
      <c r="M152" s="12" t="n">
        <f aca="false">K152-L152</f>
        <v>0</v>
      </c>
      <c r="N152" s="12" t="n">
        <f aca="false">IF(F152="Promotional Incentive",0,I152)</f>
        <v>1071</v>
      </c>
      <c r="O152" s="12" t="n">
        <f aca="false">IF(F152="Promotional Incentive",0,K152)</f>
        <v>107.1</v>
      </c>
      <c r="P152" s="11" t="s">
        <v>645</v>
      </c>
      <c r="Q152" s="2"/>
    </row>
    <row r="153" customFormat="false" ht="15" hidden="false" customHeight="false" outlineLevel="0" collapsed="false">
      <c r="A153" s="2" t="s">
        <v>889</v>
      </c>
      <c r="B153" s="2" t="s">
        <v>44</v>
      </c>
      <c r="C153" s="2" t="s">
        <v>47</v>
      </c>
      <c r="D153" s="2" t="s">
        <v>890</v>
      </c>
      <c r="E153" s="2" t="s">
        <v>888</v>
      </c>
      <c r="F153" s="2" t="s">
        <v>597</v>
      </c>
      <c r="G153" s="2" t="s">
        <v>620</v>
      </c>
      <c r="H153" s="32" t="n">
        <v>-337.32</v>
      </c>
      <c r="I153" s="32" t="n">
        <v>-337.32</v>
      </c>
      <c r="J153" s="33" t="n">
        <v>0.1</v>
      </c>
      <c r="K153" s="32" t="n">
        <v>-33.73</v>
      </c>
      <c r="L153" s="12" t="n">
        <f aca="false">ROUND(I153*J153,2)</f>
        <v>-33.73</v>
      </c>
      <c r="M153" s="12" t="n">
        <f aca="false">K153-L153</f>
        <v>0</v>
      </c>
      <c r="N153" s="12" t="n">
        <f aca="false">IF(F153="Promotional Incentive",0,I153)</f>
        <v>-337.32</v>
      </c>
      <c r="O153" s="12" t="n">
        <f aca="false">IF(F153="Promotional Incentive",0,K153)</f>
        <v>-33.73</v>
      </c>
      <c r="P153" s="11" t="s">
        <v>645</v>
      </c>
      <c r="Q153" s="2"/>
    </row>
    <row r="154" customFormat="false" ht="15" hidden="false" customHeight="false" outlineLevel="0" collapsed="false">
      <c r="A154" s="2" t="s">
        <v>891</v>
      </c>
      <c r="B154" s="2" t="s">
        <v>44</v>
      </c>
      <c r="C154" s="2" t="s">
        <v>47</v>
      </c>
      <c r="D154" s="2" t="s">
        <v>892</v>
      </c>
      <c r="E154" s="2" t="s">
        <v>893</v>
      </c>
      <c r="F154" s="2" t="s">
        <v>110</v>
      </c>
      <c r="G154" s="2" t="s">
        <v>731</v>
      </c>
      <c r="H154" s="32" t="n">
        <v>742</v>
      </c>
      <c r="I154" s="32" t="n">
        <v>742</v>
      </c>
      <c r="J154" s="33" t="n">
        <v>0.09</v>
      </c>
      <c r="K154" s="32" t="n">
        <v>66.78</v>
      </c>
      <c r="L154" s="12" t="n">
        <f aca="false">ROUND(I154*J154,2)</f>
        <v>66.78</v>
      </c>
      <c r="M154" s="12" t="n">
        <f aca="false">K154-L154</f>
        <v>0</v>
      </c>
      <c r="N154" s="12" t="n">
        <f aca="false">IF(F154="Promotional Incentive",0,I154)</f>
        <v>742</v>
      </c>
      <c r="O154" s="12" t="n">
        <f aca="false">IF(F154="Promotional Incentive",0,K154)</f>
        <v>66.78</v>
      </c>
      <c r="P154" s="11" t="s">
        <v>645</v>
      </c>
      <c r="Q154" s="2"/>
    </row>
    <row r="155" customFormat="false" ht="15" hidden="false" customHeight="false" outlineLevel="0" collapsed="false">
      <c r="A155" s="2" t="s">
        <v>894</v>
      </c>
      <c r="B155" s="2" t="s">
        <v>44</v>
      </c>
      <c r="C155" s="2" t="s">
        <v>47</v>
      </c>
      <c r="D155" s="2" t="s">
        <v>895</v>
      </c>
      <c r="E155" s="2" t="s">
        <v>896</v>
      </c>
      <c r="F155" s="2" t="s">
        <v>110</v>
      </c>
      <c r="G155" s="2" t="s">
        <v>624</v>
      </c>
      <c r="H155" s="32" t="n">
        <v>559</v>
      </c>
      <c r="I155" s="32" t="n">
        <v>559</v>
      </c>
      <c r="J155" s="33" t="n">
        <v>0.09</v>
      </c>
      <c r="K155" s="32" t="n">
        <v>50.31</v>
      </c>
      <c r="L155" s="12" t="n">
        <f aca="false">ROUND(I155*J155,2)</f>
        <v>50.31</v>
      </c>
      <c r="M155" s="12" t="n">
        <f aca="false">K155-L155</f>
        <v>0</v>
      </c>
      <c r="N155" s="12" t="n">
        <f aca="false">IF(F155="Promotional Incentive",0,I155)</f>
        <v>559</v>
      </c>
      <c r="O155" s="12" t="n">
        <f aca="false">IF(F155="Promotional Incentive",0,K155)</f>
        <v>50.31</v>
      </c>
      <c r="P155" s="11" t="s">
        <v>645</v>
      </c>
      <c r="Q155" s="2"/>
    </row>
    <row r="156" customFormat="false" ht="15" hidden="false" customHeight="false" outlineLevel="0" collapsed="false">
      <c r="A156" s="2" t="s">
        <v>897</v>
      </c>
      <c r="B156" s="2" t="s">
        <v>44</v>
      </c>
      <c r="C156" s="2" t="s">
        <v>47</v>
      </c>
      <c r="D156" s="2" t="s">
        <v>898</v>
      </c>
      <c r="E156" s="2" t="s">
        <v>899</v>
      </c>
      <c r="F156" s="2" t="s">
        <v>110</v>
      </c>
      <c r="G156" s="2" t="s">
        <v>606</v>
      </c>
      <c r="H156" s="32" t="n">
        <v>651</v>
      </c>
      <c r="I156" s="32" t="n">
        <v>651</v>
      </c>
      <c r="J156" s="33" t="n">
        <v>0.1</v>
      </c>
      <c r="K156" s="32" t="n">
        <v>65.1</v>
      </c>
      <c r="L156" s="12" t="n">
        <f aca="false">ROUND(I156*J156,2)</f>
        <v>65.1</v>
      </c>
      <c r="M156" s="12" t="n">
        <f aca="false">K156-L156</f>
        <v>0</v>
      </c>
      <c r="N156" s="12" t="n">
        <f aca="false">IF(F156="Promotional Incentive",0,I156)</f>
        <v>651</v>
      </c>
      <c r="O156" s="12" t="n">
        <f aca="false">IF(F156="Promotional Incentive",0,K156)</f>
        <v>65.1</v>
      </c>
      <c r="P156" s="11" t="s">
        <v>645</v>
      </c>
      <c r="Q156" s="2"/>
    </row>
    <row r="157" customFormat="false" ht="15" hidden="false" customHeight="false" outlineLevel="0" collapsed="false">
      <c r="A157" s="2" t="s">
        <v>900</v>
      </c>
      <c r="B157" s="2" t="s">
        <v>44</v>
      </c>
      <c r="C157" s="2" t="s">
        <v>47</v>
      </c>
      <c r="D157" s="2" t="s">
        <v>901</v>
      </c>
      <c r="E157" s="2" t="s">
        <v>902</v>
      </c>
      <c r="F157" s="2" t="s">
        <v>110</v>
      </c>
      <c r="G157" s="2" t="s">
        <v>760</v>
      </c>
      <c r="H157" s="32" t="n">
        <v>1545</v>
      </c>
      <c r="I157" s="32" t="n">
        <v>1545</v>
      </c>
      <c r="J157" s="33" t="n">
        <v>0.1</v>
      </c>
      <c r="K157" s="32" t="n">
        <v>154.5</v>
      </c>
      <c r="L157" s="12" t="n">
        <f aca="false">ROUND(I157*J157,2)</f>
        <v>154.5</v>
      </c>
      <c r="M157" s="12" t="n">
        <f aca="false">K157-L157</f>
        <v>0</v>
      </c>
      <c r="N157" s="12" t="n">
        <f aca="false">IF(F157="Promotional Incentive",0,I157)</f>
        <v>1545</v>
      </c>
      <c r="O157" s="12" t="n">
        <f aca="false">IF(F157="Promotional Incentive",0,K157)</f>
        <v>154.5</v>
      </c>
      <c r="P157" s="11" t="s">
        <v>645</v>
      </c>
      <c r="Q157" s="2"/>
    </row>
    <row r="158" customFormat="false" ht="15" hidden="false" customHeight="false" outlineLevel="0" collapsed="false">
      <c r="A158" s="2" t="s">
        <v>903</v>
      </c>
      <c r="B158" s="2" t="s">
        <v>44</v>
      </c>
      <c r="C158" s="2" t="s">
        <v>47</v>
      </c>
      <c r="D158" s="2" t="s">
        <v>904</v>
      </c>
      <c r="E158" s="2" t="s">
        <v>905</v>
      </c>
      <c r="F158" s="2" t="s">
        <v>110</v>
      </c>
      <c r="G158" s="2" t="s">
        <v>689</v>
      </c>
      <c r="H158" s="32" t="n">
        <v>3635</v>
      </c>
      <c r="I158" s="32" t="n">
        <v>3635</v>
      </c>
      <c r="J158" s="33" t="n">
        <v>0.1</v>
      </c>
      <c r="K158" s="32" t="n">
        <v>363.5</v>
      </c>
      <c r="L158" s="12" t="n">
        <f aca="false">ROUND(I158*J158,2)</f>
        <v>363.5</v>
      </c>
      <c r="M158" s="12" t="n">
        <f aca="false">K158-L158</f>
        <v>0</v>
      </c>
      <c r="N158" s="12" t="n">
        <f aca="false">IF(F158="Promotional Incentive",0,I158)</f>
        <v>3635</v>
      </c>
      <c r="O158" s="12" t="n">
        <f aca="false">IF(F158="Promotional Incentive",0,K158)</f>
        <v>363.5</v>
      </c>
      <c r="P158" s="11" t="s">
        <v>645</v>
      </c>
      <c r="Q158" s="2"/>
    </row>
    <row r="159" customFormat="false" ht="15" hidden="false" customHeight="false" outlineLevel="0" collapsed="false">
      <c r="A159" s="2" t="s">
        <v>906</v>
      </c>
      <c r="B159" s="2" t="s">
        <v>44</v>
      </c>
      <c r="C159" s="2" t="s">
        <v>47</v>
      </c>
      <c r="D159" s="2" t="s">
        <v>907</v>
      </c>
      <c r="E159" s="2" t="s">
        <v>908</v>
      </c>
      <c r="F159" s="2" t="s">
        <v>682</v>
      </c>
      <c r="G159" s="2" t="s">
        <v>722</v>
      </c>
      <c r="H159" s="32" t="n">
        <v>-674.55</v>
      </c>
      <c r="I159" s="32" t="n">
        <v>-674.55</v>
      </c>
      <c r="J159" s="33" t="n">
        <v>0.1</v>
      </c>
      <c r="K159" s="32" t="n">
        <v>-67.46</v>
      </c>
      <c r="L159" s="12" t="n">
        <f aca="false">ROUND(I159*J159,2)</f>
        <v>-67.46</v>
      </c>
      <c r="M159" s="12" t="n">
        <f aca="false">K159-L159</f>
        <v>0</v>
      </c>
      <c r="N159" s="12" t="n">
        <f aca="false">IF(F159="Promotional Incentive",0,I159)</f>
        <v>-674.55</v>
      </c>
      <c r="O159" s="12" t="n">
        <f aca="false">IF(F159="Promotional Incentive",0,K159)</f>
        <v>-67.46</v>
      </c>
      <c r="P159" s="11" t="s">
        <v>645</v>
      </c>
      <c r="Q159" s="2"/>
    </row>
    <row r="160" customFormat="false" ht="15" hidden="false" customHeight="false" outlineLevel="0" collapsed="false">
      <c r="A160" s="2" t="s">
        <v>909</v>
      </c>
      <c r="B160" s="2" t="s">
        <v>44</v>
      </c>
      <c r="C160" s="2" t="s">
        <v>47</v>
      </c>
      <c r="D160" s="2" t="s">
        <v>332</v>
      </c>
      <c r="E160" s="2" t="s">
        <v>910</v>
      </c>
      <c r="F160" s="2" t="s">
        <v>597</v>
      </c>
      <c r="G160" s="2" t="s">
        <v>722</v>
      </c>
      <c r="H160" s="32" t="n">
        <v>-10.18</v>
      </c>
      <c r="I160" s="32" t="n">
        <v>-10.18</v>
      </c>
      <c r="J160" s="33" t="n">
        <v>0.1</v>
      </c>
      <c r="K160" s="32" t="n">
        <v>-1.02</v>
      </c>
      <c r="L160" s="12" t="n">
        <f aca="false">ROUND(I160*J160,2)</f>
        <v>-1.02</v>
      </c>
      <c r="M160" s="12" t="n">
        <f aca="false">K160-L160</f>
        <v>0</v>
      </c>
      <c r="N160" s="12" t="n">
        <f aca="false">IF(F160="Promotional Incentive",0,I160)</f>
        <v>-10.18</v>
      </c>
      <c r="O160" s="12" t="n">
        <f aca="false">IF(F160="Promotional Incentive",0,K160)</f>
        <v>-1.02</v>
      </c>
      <c r="P160" s="11" t="s">
        <v>645</v>
      </c>
      <c r="Q160" s="2"/>
    </row>
    <row r="161" customFormat="false" ht="15" hidden="false" customHeight="false" outlineLevel="0" collapsed="false">
      <c r="A161" s="2" t="s">
        <v>909</v>
      </c>
      <c r="B161" s="2" t="s">
        <v>44</v>
      </c>
      <c r="C161" s="2" t="s">
        <v>47</v>
      </c>
      <c r="D161" s="2" t="s">
        <v>332</v>
      </c>
      <c r="E161" s="2" t="s">
        <v>910</v>
      </c>
      <c r="F161" s="2" t="s">
        <v>597</v>
      </c>
      <c r="G161" s="2" t="s">
        <v>624</v>
      </c>
      <c r="H161" s="32" t="n">
        <v>-920.76</v>
      </c>
      <c r="I161" s="32" t="n">
        <v>-920.76</v>
      </c>
      <c r="J161" s="33" t="n">
        <v>0.1</v>
      </c>
      <c r="K161" s="32" t="n">
        <v>-92.08</v>
      </c>
      <c r="L161" s="12" t="n">
        <f aca="false">ROUND(I161*J161,2)</f>
        <v>-92.08</v>
      </c>
      <c r="M161" s="12" t="n">
        <f aca="false">K161-L161</f>
        <v>0</v>
      </c>
      <c r="N161" s="12" t="n">
        <f aca="false">IF(F161="Promotional Incentive",0,I161)</f>
        <v>-920.76</v>
      </c>
      <c r="O161" s="12" t="n">
        <f aca="false">IF(F161="Promotional Incentive",0,K161)</f>
        <v>-92.08</v>
      </c>
      <c r="P161" s="11" t="s">
        <v>645</v>
      </c>
      <c r="Q161" s="2"/>
    </row>
    <row r="162" customFormat="false" ht="15" hidden="false" customHeight="false" outlineLevel="0" collapsed="false">
      <c r="A162" s="2" t="s">
        <v>909</v>
      </c>
      <c r="B162" s="2" t="s">
        <v>44</v>
      </c>
      <c r="C162" s="2" t="s">
        <v>47</v>
      </c>
      <c r="D162" s="2" t="s">
        <v>332</v>
      </c>
      <c r="E162" s="2" t="s">
        <v>910</v>
      </c>
      <c r="F162" s="2" t="s">
        <v>644</v>
      </c>
      <c r="G162" s="2" t="s">
        <v>612</v>
      </c>
      <c r="H162" s="32" t="n">
        <v>661.72</v>
      </c>
      <c r="I162" s="32" t="n">
        <v>661.72</v>
      </c>
      <c r="J162" s="33" t="n">
        <v>0.1</v>
      </c>
      <c r="K162" s="32" t="n">
        <v>66.17</v>
      </c>
      <c r="L162" s="12" t="n">
        <f aca="false">ROUND(I162*J162,2)</f>
        <v>66.17</v>
      </c>
      <c r="M162" s="12" t="n">
        <f aca="false">K162-L162</f>
        <v>0</v>
      </c>
      <c r="N162" s="12" t="n">
        <f aca="false">IF(F162="Promotional Incentive",0,I162)</f>
        <v>661.72</v>
      </c>
      <c r="O162" s="12" t="n">
        <f aca="false">IF(F162="Promotional Incentive",0,K162)</f>
        <v>66.17</v>
      </c>
      <c r="P162" s="11" t="s">
        <v>645</v>
      </c>
      <c r="Q162" s="2"/>
    </row>
    <row r="163" customFormat="false" ht="15" hidden="false" customHeight="false" outlineLevel="0" collapsed="false">
      <c r="A163" s="2" t="s">
        <v>911</v>
      </c>
      <c r="B163" s="2" t="s">
        <v>44</v>
      </c>
      <c r="C163" s="2" t="s">
        <v>47</v>
      </c>
      <c r="D163" s="2" t="s">
        <v>335</v>
      </c>
      <c r="E163" s="2" t="s">
        <v>912</v>
      </c>
      <c r="F163" s="2" t="s">
        <v>597</v>
      </c>
      <c r="G163" s="2" t="s">
        <v>913</v>
      </c>
      <c r="H163" s="32" t="n">
        <v>-547</v>
      </c>
      <c r="I163" s="32" t="n">
        <v>-547</v>
      </c>
      <c r="J163" s="33" t="n">
        <v>0.1</v>
      </c>
      <c r="K163" s="32" t="n">
        <v>-54.7</v>
      </c>
      <c r="L163" s="12" t="n">
        <f aca="false">ROUND(I163*J163,2)</f>
        <v>-54.7</v>
      </c>
      <c r="M163" s="12" t="n">
        <f aca="false">K163-L163</f>
        <v>0</v>
      </c>
      <c r="N163" s="12" t="n">
        <f aca="false">IF(F163="Promotional Incentive",0,I163)</f>
        <v>-547</v>
      </c>
      <c r="O163" s="12" t="n">
        <f aca="false">IF(F163="Promotional Incentive",0,K163)</f>
        <v>-54.7</v>
      </c>
      <c r="P163" s="11" t="s">
        <v>645</v>
      </c>
      <c r="Q163" s="2"/>
    </row>
    <row r="164" customFormat="false" ht="15" hidden="false" customHeight="false" outlineLevel="0" collapsed="false">
      <c r="A164" s="2" t="s">
        <v>914</v>
      </c>
      <c r="B164" s="2" t="s">
        <v>44</v>
      </c>
      <c r="C164" s="2" t="s">
        <v>47</v>
      </c>
      <c r="D164" s="2" t="s">
        <v>915</v>
      </c>
      <c r="E164" s="2" t="s">
        <v>916</v>
      </c>
      <c r="F164" s="2" t="s">
        <v>110</v>
      </c>
      <c r="G164" s="2" t="s">
        <v>608</v>
      </c>
      <c r="H164" s="32" t="n">
        <v>838</v>
      </c>
      <c r="I164" s="32" t="n">
        <v>838</v>
      </c>
      <c r="J164" s="33" t="n">
        <v>0.1</v>
      </c>
      <c r="K164" s="32" t="n">
        <v>83.8</v>
      </c>
      <c r="L164" s="12" t="n">
        <f aca="false">ROUND(I164*J164,2)</f>
        <v>83.8</v>
      </c>
      <c r="M164" s="12" t="n">
        <f aca="false">K164-L164</f>
        <v>0</v>
      </c>
      <c r="N164" s="12" t="n">
        <f aca="false">IF(F164="Promotional Incentive",0,I164)</f>
        <v>838</v>
      </c>
      <c r="O164" s="12" t="n">
        <f aca="false">IF(F164="Promotional Incentive",0,K164)</f>
        <v>83.8</v>
      </c>
      <c r="P164" s="11" t="s">
        <v>645</v>
      </c>
      <c r="Q164" s="2"/>
    </row>
    <row r="165" customFormat="false" ht="15" hidden="false" customHeight="false" outlineLevel="0" collapsed="false">
      <c r="A165" s="2" t="s">
        <v>914</v>
      </c>
      <c r="B165" s="2" t="s">
        <v>44</v>
      </c>
      <c r="C165" s="2" t="s">
        <v>47</v>
      </c>
      <c r="D165" s="2" t="s">
        <v>915</v>
      </c>
      <c r="E165" s="2" t="s">
        <v>916</v>
      </c>
      <c r="F165" s="2" t="s">
        <v>682</v>
      </c>
      <c r="G165" s="2" t="s">
        <v>608</v>
      </c>
      <c r="H165" s="32" t="n">
        <v>-838</v>
      </c>
      <c r="I165" s="32" t="n">
        <v>-838</v>
      </c>
      <c r="J165" s="33" t="n">
        <v>0.1</v>
      </c>
      <c r="K165" s="32" t="n">
        <v>-83.8</v>
      </c>
      <c r="L165" s="12" t="n">
        <f aca="false">ROUND(I165*J165,2)</f>
        <v>-83.8</v>
      </c>
      <c r="M165" s="12" t="n">
        <f aca="false">K165-L165</f>
        <v>0</v>
      </c>
      <c r="N165" s="12" t="n">
        <f aca="false">IF(F165="Promotional Incentive",0,I165)</f>
        <v>-838</v>
      </c>
      <c r="O165" s="12" t="n">
        <f aca="false">IF(F165="Promotional Incentive",0,K165)</f>
        <v>-83.8</v>
      </c>
      <c r="P165" s="11" t="s">
        <v>645</v>
      </c>
      <c r="Q165" s="2"/>
    </row>
    <row r="166" customFormat="false" ht="15" hidden="false" customHeight="false" outlineLevel="0" collapsed="false">
      <c r="A166" s="2" t="s">
        <v>917</v>
      </c>
      <c r="B166" s="2" t="s">
        <v>44</v>
      </c>
      <c r="C166" s="2" t="s">
        <v>47</v>
      </c>
      <c r="D166" s="2" t="s">
        <v>339</v>
      </c>
      <c r="E166" s="2" t="s">
        <v>918</v>
      </c>
      <c r="F166" s="2" t="s">
        <v>682</v>
      </c>
      <c r="G166" s="2" t="s">
        <v>624</v>
      </c>
      <c r="H166" s="32" t="n">
        <v>-84.14</v>
      </c>
      <c r="I166" s="32" t="n">
        <v>-84.14</v>
      </c>
      <c r="J166" s="33" t="n">
        <v>0.1</v>
      </c>
      <c r="K166" s="32" t="n">
        <v>-8.41</v>
      </c>
      <c r="L166" s="12" t="n">
        <f aca="false">ROUND(I166*J166,2)</f>
        <v>-8.41</v>
      </c>
      <c r="M166" s="12" t="n">
        <f aca="false">K166-L166</f>
        <v>0</v>
      </c>
      <c r="N166" s="12" t="n">
        <f aca="false">IF(F166="Promotional Incentive",0,I166)</f>
        <v>-84.14</v>
      </c>
      <c r="O166" s="12" t="n">
        <f aca="false">IF(F166="Promotional Incentive",0,K166)</f>
        <v>-8.41</v>
      </c>
      <c r="P166" s="11" t="s">
        <v>645</v>
      </c>
      <c r="Q166" s="2"/>
    </row>
    <row r="167" customFormat="false" ht="15" hidden="false" customHeight="false" outlineLevel="0" collapsed="false">
      <c r="A167" s="2" t="s">
        <v>919</v>
      </c>
      <c r="B167" s="2" t="s">
        <v>44</v>
      </c>
      <c r="C167" s="2" t="s">
        <v>47</v>
      </c>
      <c r="D167" s="2" t="s">
        <v>920</v>
      </c>
      <c r="E167" s="2" t="s">
        <v>921</v>
      </c>
      <c r="F167" s="2" t="s">
        <v>644</v>
      </c>
      <c r="G167" s="2" t="s">
        <v>614</v>
      </c>
      <c r="H167" s="32" t="n">
        <v>591.61</v>
      </c>
      <c r="I167" s="32" t="n">
        <v>591.61</v>
      </c>
      <c r="J167" s="33" t="n">
        <v>0.1</v>
      </c>
      <c r="K167" s="32" t="n">
        <v>59.16</v>
      </c>
      <c r="L167" s="12" t="n">
        <f aca="false">ROUND(I167*J167,2)</f>
        <v>59.16</v>
      </c>
      <c r="M167" s="12" t="n">
        <f aca="false">K167-L167</f>
        <v>0</v>
      </c>
      <c r="N167" s="12" t="n">
        <f aca="false">IF(F167="Promotional Incentive",0,I167)</f>
        <v>591.61</v>
      </c>
      <c r="O167" s="12" t="n">
        <f aca="false">IF(F167="Promotional Incentive",0,K167)</f>
        <v>59.16</v>
      </c>
      <c r="P167" s="11" t="s">
        <v>645</v>
      </c>
      <c r="Q167" s="2"/>
    </row>
    <row r="168" customFormat="false" ht="15" hidden="false" customHeight="false" outlineLevel="0" collapsed="false">
      <c r="A168" s="2" t="s">
        <v>919</v>
      </c>
      <c r="B168" s="2" t="s">
        <v>44</v>
      </c>
      <c r="C168" s="2" t="s">
        <v>47</v>
      </c>
      <c r="D168" s="2" t="s">
        <v>920</v>
      </c>
      <c r="E168" s="2" t="s">
        <v>921</v>
      </c>
      <c r="F168" s="2" t="s">
        <v>597</v>
      </c>
      <c r="G168" s="2" t="s">
        <v>604</v>
      </c>
      <c r="H168" s="32" t="n">
        <v>-31.38</v>
      </c>
      <c r="I168" s="32" t="n">
        <v>-31.38</v>
      </c>
      <c r="J168" s="33" t="n">
        <v>0.1</v>
      </c>
      <c r="K168" s="32" t="n">
        <v>-3.14</v>
      </c>
      <c r="L168" s="12" t="n">
        <f aca="false">ROUND(I168*J168,2)</f>
        <v>-3.14</v>
      </c>
      <c r="M168" s="12" t="n">
        <f aca="false">K168-L168</f>
        <v>0</v>
      </c>
      <c r="N168" s="12" t="n">
        <f aca="false">IF(F168="Promotional Incentive",0,I168)</f>
        <v>-31.38</v>
      </c>
      <c r="O168" s="12" t="n">
        <f aca="false">IF(F168="Promotional Incentive",0,K168)</f>
        <v>-3.14</v>
      </c>
      <c r="P168" s="11" t="s">
        <v>645</v>
      </c>
      <c r="Q168" s="2"/>
    </row>
    <row r="169" customFormat="false" ht="15" hidden="false" customHeight="false" outlineLevel="0" collapsed="false">
      <c r="A169" s="2" t="s">
        <v>922</v>
      </c>
      <c r="B169" s="2" t="s">
        <v>44</v>
      </c>
      <c r="C169" s="2" t="s">
        <v>47</v>
      </c>
      <c r="D169" s="2" t="s">
        <v>923</v>
      </c>
      <c r="E169" s="2" t="s">
        <v>924</v>
      </c>
      <c r="F169" s="2" t="s">
        <v>597</v>
      </c>
      <c r="G169" s="2" t="s">
        <v>750</v>
      </c>
      <c r="H169" s="32" t="n">
        <v>-127.37</v>
      </c>
      <c r="I169" s="32" t="n">
        <v>-127.37</v>
      </c>
      <c r="J169" s="33" t="n">
        <v>0.1</v>
      </c>
      <c r="K169" s="32" t="n">
        <v>-12.74</v>
      </c>
      <c r="L169" s="12" t="n">
        <f aca="false">ROUND(I169*J169,2)</f>
        <v>-12.74</v>
      </c>
      <c r="M169" s="12" t="n">
        <f aca="false">K169-L169</f>
        <v>0</v>
      </c>
      <c r="N169" s="12" t="n">
        <f aca="false">IF(F169="Promotional Incentive",0,I169)</f>
        <v>-127.37</v>
      </c>
      <c r="O169" s="12" t="n">
        <f aca="false">IF(F169="Promotional Incentive",0,K169)</f>
        <v>-12.74</v>
      </c>
      <c r="P169" s="11" t="s">
        <v>645</v>
      </c>
      <c r="Q169" s="2"/>
    </row>
    <row r="170" customFormat="false" ht="15" hidden="false" customHeight="false" outlineLevel="0" collapsed="false">
      <c r="A170" s="2" t="s">
        <v>925</v>
      </c>
      <c r="B170" s="2" t="s">
        <v>44</v>
      </c>
      <c r="C170" s="2" t="s">
        <v>47</v>
      </c>
      <c r="D170" s="2" t="s">
        <v>342</v>
      </c>
      <c r="E170" s="2" t="s">
        <v>926</v>
      </c>
      <c r="F170" s="2" t="s">
        <v>597</v>
      </c>
      <c r="G170" s="2" t="s">
        <v>731</v>
      </c>
      <c r="H170" s="32" t="n">
        <v>-256.32</v>
      </c>
      <c r="I170" s="32" t="n">
        <v>-256.32</v>
      </c>
      <c r="J170" s="33" t="n">
        <v>0.1</v>
      </c>
      <c r="K170" s="32" t="n">
        <v>-25.63</v>
      </c>
      <c r="L170" s="12" t="n">
        <f aca="false">ROUND(I170*J170,2)</f>
        <v>-25.63</v>
      </c>
      <c r="M170" s="12" t="n">
        <f aca="false">K170-L170</f>
        <v>0</v>
      </c>
      <c r="N170" s="12" t="n">
        <f aca="false">IF(F170="Promotional Incentive",0,I170)</f>
        <v>-256.32</v>
      </c>
      <c r="O170" s="12" t="n">
        <f aca="false">IF(F170="Promotional Incentive",0,K170)</f>
        <v>-25.63</v>
      </c>
      <c r="P170" s="11" t="s">
        <v>645</v>
      </c>
      <c r="Q170" s="2"/>
    </row>
    <row r="171" customFormat="false" ht="15" hidden="false" customHeight="false" outlineLevel="0" collapsed="false">
      <c r="A171" s="2" t="s">
        <v>925</v>
      </c>
      <c r="B171" s="2" t="s">
        <v>44</v>
      </c>
      <c r="C171" s="2" t="s">
        <v>47</v>
      </c>
      <c r="D171" s="2" t="s">
        <v>342</v>
      </c>
      <c r="E171" s="2" t="s">
        <v>926</v>
      </c>
      <c r="F171" s="2" t="s">
        <v>682</v>
      </c>
      <c r="G171" s="2" t="s">
        <v>520</v>
      </c>
      <c r="H171" s="32" t="n">
        <v>-979.29</v>
      </c>
      <c r="I171" s="32" t="n">
        <v>-979.29</v>
      </c>
      <c r="J171" s="33" t="n">
        <v>0.1</v>
      </c>
      <c r="K171" s="32" t="n">
        <v>-97.93</v>
      </c>
      <c r="L171" s="12" t="n">
        <f aca="false">ROUND(I171*J171,2)</f>
        <v>-97.93</v>
      </c>
      <c r="M171" s="12" t="n">
        <f aca="false">K171-L171</f>
        <v>0</v>
      </c>
      <c r="N171" s="12" t="n">
        <f aca="false">IF(F171="Promotional Incentive",0,I171)</f>
        <v>-979.29</v>
      </c>
      <c r="O171" s="12" t="n">
        <f aca="false">IF(F171="Promotional Incentive",0,K171)</f>
        <v>-97.93</v>
      </c>
      <c r="P171" s="11" t="s">
        <v>645</v>
      </c>
      <c r="Q171" s="2"/>
    </row>
    <row r="172" customFormat="false" ht="15" hidden="false" customHeight="false" outlineLevel="0" collapsed="false">
      <c r="A172" s="2" t="s">
        <v>927</v>
      </c>
      <c r="B172" s="2" t="s">
        <v>44</v>
      </c>
      <c r="C172" s="2" t="s">
        <v>47</v>
      </c>
      <c r="D172" s="2" t="s">
        <v>928</v>
      </c>
      <c r="E172" s="2" t="s">
        <v>929</v>
      </c>
      <c r="F172" s="2" t="s">
        <v>110</v>
      </c>
      <c r="G172" s="2" t="s">
        <v>606</v>
      </c>
      <c r="H172" s="32" t="n">
        <v>3082</v>
      </c>
      <c r="I172" s="32" t="n">
        <v>3082</v>
      </c>
      <c r="J172" s="33" t="n">
        <v>0.1</v>
      </c>
      <c r="K172" s="32" t="n">
        <v>308.2</v>
      </c>
      <c r="L172" s="12" t="n">
        <f aca="false">ROUND(I172*J172,2)</f>
        <v>308.2</v>
      </c>
      <c r="M172" s="12" t="n">
        <f aca="false">K172-L172</f>
        <v>0</v>
      </c>
      <c r="N172" s="12" t="n">
        <f aca="false">IF(F172="Promotional Incentive",0,I172)</f>
        <v>3082</v>
      </c>
      <c r="O172" s="12" t="n">
        <f aca="false">IF(F172="Promotional Incentive",0,K172)</f>
        <v>308.2</v>
      </c>
      <c r="P172" s="11" t="s">
        <v>645</v>
      </c>
      <c r="Q172" s="2"/>
    </row>
    <row r="173" customFormat="false" ht="15" hidden="false" customHeight="false" outlineLevel="0" collapsed="false">
      <c r="A173" s="2" t="s">
        <v>930</v>
      </c>
      <c r="B173" s="2" t="s">
        <v>44</v>
      </c>
      <c r="C173" s="2" t="s">
        <v>47</v>
      </c>
      <c r="D173" s="2" t="s">
        <v>931</v>
      </c>
      <c r="E173" s="2" t="s">
        <v>932</v>
      </c>
      <c r="F173" s="2" t="s">
        <v>597</v>
      </c>
      <c r="G173" s="2" t="s">
        <v>630</v>
      </c>
      <c r="H173" s="32" t="n">
        <v>-89.18</v>
      </c>
      <c r="I173" s="32" t="n">
        <v>-89.18</v>
      </c>
      <c r="J173" s="33" t="n">
        <v>0.1</v>
      </c>
      <c r="K173" s="32" t="n">
        <v>-8.92</v>
      </c>
      <c r="L173" s="12" t="n">
        <f aca="false">ROUND(I173*J173,2)</f>
        <v>-8.92</v>
      </c>
      <c r="M173" s="12" t="n">
        <f aca="false">K173-L173</f>
        <v>0</v>
      </c>
      <c r="N173" s="12" t="n">
        <f aca="false">IF(F173="Promotional Incentive",0,I173)</f>
        <v>-89.18</v>
      </c>
      <c r="O173" s="12" t="n">
        <f aca="false">IF(F173="Promotional Incentive",0,K173)</f>
        <v>-8.92</v>
      </c>
      <c r="P173" s="11" t="s">
        <v>645</v>
      </c>
      <c r="Q173" s="2"/>
    </row>
    <row r="174" customFormat="false" ht="15" hidden="false" customHeight="false" outlineLevel="0" collapsed="false">
      <c r="A174" s="2" t="s">
        <v>933</v>
      </c>
      <c r="B174" s="2" t="s">
        <v>44</v>
      </c>
      <c r="C174" s="2" t="s">
        <v>47</v>
      </c>
      <c r="D174" s="2" t="s">
        <v>934</v>
      </c>
      <c r="E174" s="2" t="s">
        <v>935</v>
      </c>
      <c r="F174" s="2" t="s">
        <v>644</v>
      </c>
      <c r="G174" s="2" t="s">
        <v>845</v>
      </c>
      <c r="H174" s="32" t="n">
        <v>68.66</v>
      </c>
      <c r="I174" s="32" t="n">
        <v>68.66</v>
      </c>
      <c r="J174" s="33" t="n">
        <v>0.1</v>
      </c>
      <c r="K174" s="32" t="n">
        <v>6.87</v>
      </c>
      <c r="L174" s="12" t="n">
        <f aca="false">ROUND(I174*J174,2)</f>
        <v>6.87</v>
      </c>
      <c r="M174" s="12" t="n">
        <f aca="false">K174-L174</f>
        <v>0</v>
      </c>
      <c r="N174" s="12" t="n">
        <f aca="false">IF(F174="Promotional Incentive",0,I174)</f>
        <v>68.66</v>
      </c>
      <c r="O174" s="12" t="n">
        <f aca="false">IF(F174="Promotional Incentive",0,K174)</f>
        <v>6.87</v>
      </c>
      <c r="P174" s="11" t="s">
        <v>645</v>
      </c>
      <c r="Q174" s="2"/>
    </row>
    <row r="175" customFormat="false" ht="15" hidden="false" customHeight="false" outlineLevel="0" collapsed="false">
      <c r="A175" s="2" t="s">
        <v>936</v>
      </c>
      <c r="B175" s="2" t="s">
        <v>44</v>
      </c>
      <c r="C175" s="2" t="s">
        <v>47</v>
      </c>
      <c r="D175" s="2" t="s">
        <v>937</v>
      </c>
      <c r="E175" s="2" t="s">
        <v>938</v>
      </c>
      <c r="F175" s="2" t="s">
        <v>597</v>
      </c>
      <c r="G175" s="2" t="s">
        <v>608</v>
      </c>
      <c r="H175" s="32" t="n">
        <v>-7</v>
      </c>
      <c r="I175" s="32" t="n">
        <v>-7</v>
      </c>
      <c r="J175" s="33" t="n">
        <v>0.1</v>
      </c>
      <c r="K175" s="32" t="n">
        <v>-0.7</v>
      </c>
      <c r="L175" s="12" t="n">
        <f aca="false">ROUND(I175*J175,2)</f>
        <v>-0.7</v>
      </c>
      <c r="M175" s="12" t="n">
        <f aca="false">K175-L175</f>
        <v>0</v>
      </c>
      <c r="N175" s="12" t="n">
        <f aca="false">IF(F175="Promotional Incentive",0,I175)</f>
        <v>-7</v>
      </c>
      <c r="O175" s="12" t="n">
        <f aca="false">IF(F175="Promotional Incentive",0,K175)</f>
        <v>-0.7</v>
      </c>
      <c r="P175" s="11" t="s">
        <v>645</v>
      </c>
      <c r="Q175" s="2"/>
    </row>
    <row r="176" customFormat="false" ht="15" hidden="false" customHeight="false" outlineLevel="0" collapsed="false">
      <c r="A176" s="2" t="s">
        <v>939</v>
      </c>
      <c r="B176" s="2" t="s">
        <v>44</v>
      </c>
      <c r="C176" s="2" t="s">
        <v>47</v>
      </c>
      <c r="D176" s="2" t="s">
        <v>940</v>
      </c>
      <c r="E176" s="2" t="s">
        <v>941</v>
      </c>
      <c r="F176" s="2" t="s">
        <v>597</v>
      </c>
      <c r="G176" s="2" t="s">
        <v>628</v>
      </c>
      <c r="H176" s="32" t="n">
        <v>-740</v>
      </c>
      <c r="I176" s="32" t="n">
        <v>-740</v>
      </c>
      <c r="J176" s="33" t="n">
        <v>0.1</v>
      </c>
      <c r="K176" s="32" t="n">
        <v>-74</v>
      </c>
      <c r="L176" s="12" t="n">
        <f aca="false">ROUND(I176*J176,2)</f>
        <v>-74</v>
      </c>
      <c r="M176" s="12" t="n">
        <f aca="false">K176-L176</f>
        <v>0</v>
      </c>
      <c r="N176" s="12" t="n">
        <f aca="false">IF(F176="Promotional Incentive",0,I176)</f>
        <v>-740</v>
      </c>
      <c r="O176" s="12" t="n">
        <f aca="false">IF(F176="Promotional Incentive",0,K176)</f>
        <v>-74</v>
      </c>
      <c r="P176" s="11" t="s">
        <v>645</v>
      </c>
      <c r="Q176" s="2"/>
    </row>
    <row r="177" customFormat="false" ht="15" hidden="false" customHeight="false" outlineLevel="0" collapsed="false">
      <c r="A177" s="2" t="s">
        <v>942</v>
      </c>
      <c r="B177" s="2" t="s">
        <v>44</v>
      </c>
      <c r="C177" s="2" t="s">
        <v>47</v>
      </c>
      <c r="D177" s="2" t="s">
        <v>943</v>
      </c>
      <c r="E177" s="2" t="s">
        <v>944</v>
      </c>
      <c r="F177" s="2" t="s">
        <v>110</v>
      </c>
      <c r="G177" s="2" t="s">
        <v>750</v>
      </c>
      <c r="H177" s="32" t="n">
        <v>1984</v>
      </c>
      <c r="I177" s="32" t="n">
        <v>1984</v>
      </c>
      <c r="J177" s="33" t="n">
        <v>0.1</v>
      </c>
      <c r="K177" s="32" t="n">
        <v>198.4</v>
      </c>
      <c r="L177" s="12" t="n">
        <f aca="false">ROUND(I177*J177,2)</f>
        <v>198.4</v>
      </c>
      <c r="M177" s="12" t="n">
        <f aca="false">K177-L177</f>
        <v>0</v>
      </c>
      <c r="N177" s="12" t="n">
        <f aca="false">IF(F177="Promotional Incentive",0,I177)</f>
        <v>1984</v>
      </c>
      <c r="O177" s="12" t="n">
        <f aca="false">IF(F177="Promotional Incentive",0,K177)</f>
        <v>198.4</v>
      </c>
      <c r="P177" s="11" t="s">
        <v>645</v>
      </c>
      <c r="Q177" s="2"/>
    </row>
    <row r="178" customFormat="false" ht="15" hidden="false" customHeight="false" outlineLevel="0" collapsed="false">
      <c r="A178" s="2" t="s">
        <v>945</v>
      </c>
      <c r="B178" s="2" t="s">
        <v>44</v>
      </c>
      <c r="C178" s="2" t="s">
        <v>47</v>
      </c>
      <c r="D178" s="2" t="s">
        <v>946</v>
      </c>
      <c r="E178" s="2" t="s">
        <v>947</v>
      </c>
      <c r="F178" s="2" t="s">
        <v>682</v>
      </c>
      <c r="G178" s="2" t="s">
        <v>689</v>
      </c>
      <c r="H178" s="32" t="n">
        <v>-525.1</v>
      </c>
      <c r="I178" s="32" t="n">
        <v>-525.1</v>
      </c>
      <c r="J178" s="33" t="n">
        <v>0.1</v>
      </c>
      <c r="K178" s="32" t="n">
        <v>-52.51</v>
      </c>
      <c r="L178" s="12" t="n">
        <f aca="false">ROUND(I178*J178,2)</f>
        <v>-52.51</v>
      </c>
      <c r="M178" s="12" t="n">
        <f aca="false">K178-L178</f>
        <v>0</v>
      </c>
      <c r="N178" s="12" t="n">
        <f aca="false">IF(F178="Promotional Incentive",0,I178)</f>
        <v>-525.1</v>
      </c>
      <c r="O178" s="12" t="n">
        <f aca="false">IF(F178="Promotional Incentive",0,K178)</f>
        <v>-52.51</v>
      </c>
      <c r="P178" s="11" t="s">
        <v>645</v>
      </c>
      <c r="Q178" s="2"/>
    </row>
    <row r="179" customFormat="false" ht="15" hidden="false" customHeight="false" outlineLevel="0" collapsed="false">
      <c r="A179" s="2" t="s">
        <v>948</v>
      </c>
      <c r="B179" s="2" t="s">
        <v>44</v>
      </c>
      <c r="C179" s="2" t="s">
        <v>47</v>
      </c>
      <c r="D179" s="2" t="s">
        <v>949</v>
      </c>
      <c r="E179" s="2" t="s">
        <v>950</v>
      </c>
      <c r="F179" s="2" t="s">
        <v>110</v>
      </c>
      <c r="G179" s="2" t="s">
        <v>618</v>
      </c>
      <c r="H179" s="32" t="n">
        <v>3441</v>
      </c>
      <c r="I179" s="32" t="n">
        <v>3441</v>
      </c>
      <c r="J179" s="33" t="n">
        <v>0.1</v>
      </c>
      <c r="K179" s="32" t="n">
        <v>344.1</v>
      </c>
      <c r="L179" s="12" t="n">
        <f aca="false">ROUND(I179*J179,2)</f>
        <v>344.1</v>
      </c>
      <c r="M179" s="12" t="n">
        <f aca="false">K179-L179</f>
        <v>0</v>
      </c>
      <c r="N179" s="12" t="n">
        <f aca="false">IF(F179="Promotional Incentive",0,I179)</f>
        <v>3441</v>
      </c>
      <c r="O179" s="12" t="n">
        <f aca="false">IF(F179="Promotional Incentive",0,K179)</f>
        <v>344.1</v>
      </c>
      <c r="P179" s="11" t="s">
        <v>645</v>
      </c>
      <c r="Q179" s="2"/>
    </row>
    <row r="180" customFormat="false" ht="15" hidden="false" customHeight="false" outlineLevel="0" collapsed="false">
      <c r="A180" s="2" t="s">
        <v>951</v>
      </c>
      <c r="B180" s="2" t="s">
        <v>44</v>
      </c>
      <c r="C180" s="2" t="s">
        <v>47</v>
      </c>
      <c r="D180" s="2" t="s">
        <v>952</v>
      </c>
      <c r="E180" s="2" t="s">
        <v>953</v>
      </c>
      <c r="F180" s="2" t="s">
        <v>110</v>
      </c>
      <c r="G180" s="2" t="s">
        <v>678</v>
      </c>
      <c r="H180" s="32" t="n">
        <v>1096</v>
      </c>
      <c r="I180" s="32" t="n">
        <v>1096</v>
      </c>
      <c r="J180" s="33" t="n">
        <v>0.1</v>
      </c>
      <c r="K180" s="32" t="n">
        <v>109.6</v>
      </c>
      <c r="L180" s="12" t="n">
        <f aca="false">ROUND(I180*J180,2)</f>
        <v>109.6</v>
      </c>
      <c r="M180" s="12" t="n">
        <f aca="false">K180-L180</f>
        <v>0</v>
      </c>
      <c r="N180" s="12" t="n">
        <f aca="false">IF(F180="Promotional Incentive",0,I180)</f>
        <v>1096</v>
      </c>
      <c r="O180" s="12" t="n">
        <f aca="false">IF(F180="Promotional Incentive",0,K180)</f>
        <v>109.6</v>
      </c>
      <c r="P180" s="11" t="s">
        <v>645</v>
      </c>
      <c r="Q180" s="2"/>
    </row>
    <row r="181" customFormat="false" ht="15" hidden="false" customHeight="false" outlineLevel="0" collapsed="false">
      <c r="A181" s="2" t="s">
        <v>954</v>
      </c>
      <c r="B181" s="2" t="s">
        <v>44</v>
      </c>
      <c r="C181" s="2" t="s">
        <v>47</v>
      </c>
      <c r="D181" s="2" t="s">
        <v>955</v>
      </c>
      <c r="E181" s="2" t="s">
        <v>956</v>
      </c>
      <c r="F181" s="2" t="s">
        <v>110</v>
      </c>
      <c r="G181" s="2" t="s">
        <v>874</v>
      </c>
      <c r="H181" s="32" t="n">
        <v>1777</v>
      </c>
      <c r="I181" s="32" t="n">
        <v>1777</v>
      </c>
      <c r="J181" s="33" t="n">
        <v>0.1</v>
      </c>
      <c r="K181" s="32" t="n">
        <v>177.7</v>
      </c>
      <c r="L181" s="12" t="n">
        <f aca="false">ROUND(I181*J181,2)</f>
        <v>177.7</v>
      </c>
      <c r="M181" s="12" t="n">
        <f aca="false">K181-L181</f>
        <v>0</v>
      </c>
      <c r="N181" s="12" t="n">
        <f aca="false">IF(F181="Promotional Incentive",0,I181)</f>
        <v>1777</v>
      </c>
      <c r="O181" s="12" t="n">
        <f aca="false">IF(F181="Promotional Incentive",0,K181)</f>
        <v>177.7</v>
      </c>
      <c r="P181" s="11" t="s">
        <v>645</v>
      </c>
      <c r="Q181" s="2"/>
    </row>
    <row r="182" customFormat="false" ht="15" hidden="false" customHeight="false" outlineLevel="0" collapsed="false">
      <c r="A182" s="2" t="s">
        <v>957</v>
      </c>
      <c r="B182" s="2" t="s">
        <v>44</v>
      </c>
      <c r="C182" s="2" t="s">
        <v>47</v>
      </c>
      <c r="D182" s="2" t="s">
        <v>345</v>
      </c>
      <c r="E182" s="2" t="s">
        <v>958</v>
      </c>
      <c r="F182" s="2" t="s">
        <v>110</v>
      </c>
      <c r="G182" s="2" t="s">
        <v>747</v>
      </c>
      <c r="H182" s="32" t="n">
        <v>1742</v>
      </c>
      <c r="I182" s="32" t="n">
        <v>1742</v>
      </c>
      <c r="J182" s="33" t="n">
        <v>0.1</v>
      </c>
      <c r="K182" s="32" t="n">
        <v>174.2</v>
      </c>
      <c r="L182" s="12" t="n">
        <f aca="false">ROUND(I182*J182,2)</f>
        <v>174.2</v>
      </c>
      <c r="M182" s="12" t="n">
        <f aca="false">K182-L182</f>
        <v>0</v>
      </c>
      <c r="N182" s="12" t="n">
        <f aca="false">IF(F182="Promotional Incentive",0,I182)</f>
        <v>1742</v>
      </c>
      <c r="O182" s="12" t="n">
        <f aca="false">IF(F182="Promotional Incentive",0,K182)</f>
        <v>174.2</v>
      </c>
      <c r="P182" s="11" t="s">
        <v>645</v>
      </c>
      <c r="Q182" s="2"/>
    </row>
    <row r="183" customFormat="false" ht="15" hidden="false" customHeight="false" outlineLevel="0" collapsed="false">
      <c r="A183" s="2" t="s">
        <v>959</v>
      </c>
      <c r="B183" s="2" t="s">
        <v>44</v>
      </c>
      <c r="C183" s="2" t="s">
        <v>47</v>
      </c>
      <c r="D183" s="2" t="s">
        <v>348</v>
      </c>
      <c r="E183" s="2" t="s">
        <v>960</v>
      </c>
      <c r="F183" s="2" t="s">
        <v>597</v>
      </c>
      <c r="G183" s="2" t="s">
        <v>760</v>
      </c>
      <c r="H183" s="32" t="n">
        <v>-16.24</v>
      </c>
      <c r="I183" s="32" t="n">
        <v>-16.24</v>
      </c>
      <c r="J183" s="33" t="n">
        <v>0.1</v>
      </c>
      <c r="K183" s="32" t="n">
        <v>-1.62</v>
      </c>
      <c r="L183" s="12" t="n">
        <f aca="false">ROUND(I183*J183,2)</f>
        <v>-1.62</v>
      </c>
      <c r="M183" s="12" t="n">
        <f aca="false">K183-L183</f>
        <v>0</v>
      </c>
      <c r="N183" s="12" t="n">
        <f aca="false">IF(F183="Promotional Incentive",0,I183)</f>
        <v>-16.24</v>
      </c>
      <c r="O183" s="12" t="n">
        <f aca="false">IF(F183="Promotional Incentive",0,K183)</f>
        <v>-1.62</v>
      </c>
      <c r="P183" s="11" t="s">
        <v>645</v>
      </c>
      <c r="Q183" s="2"/>
    </row>
    <row r="184" customFormat="false" ht="15" hidden="false" customHeight="false" outlineLevel="0" collapsed="false">
      <c r="A184" s="2" t="s">
        <v>961</v>
      </c>
      <c r="B184" s="2" t="s">
        <v>44</v>
      </c>
      <c r="C184" s="2" t="s">
        <v>47</v>
      </c>
      <c r="D184" s="2" t="s">
        <v>351</v>
      </c>
      <c r="E184" s="2" t="s">
        <v>962</v>
      </c>
      <c r="F184" s="2" t="s">
        <v>682</v>
      </c>
      <c r="G184" s="2" t="s">
        <v>678</v>
      </c>
      <c r="H184" s="32" t="n">
        <v>-240.61</v>
      </c>
      <c r="I184" s="32" t="n">
        <v>-240.61</v>
      </c>
      <c r="J184" s="33" t="n">
        <v>0.1</v>
      </c>
      <c r="K184" s="32" t="n">
        <v>-24.06</v>
      </c>
      <c r="L184" s="12" t="n">
        <f aca="false">ROUND(I184*J184,2)</f>
        <v>-24.06</v>
      </c>
      <c r="M184" s="12" t="n">
        <f aca="false">K184-L184</f>
        <v>0</v>
      </c>
      <c r="N184" s="12" t="n">
        <f aca="false">IF(F184="Promotional Incentive",0,I184)</f>
        <v>-240.61</v>
      </c>
      <c r="O184" s="12" t="n">
        <f aca="false">IF(F184="Promotional Incentive",0,K184)</f>
        <v>-24.06</v>
      </c>
      <c r="P184" s="11" t="s">
        <v>645</v>
      </c>
      <c r="Q184" s="2"/>
    </row>
    <row r="185" customFormat="false" ht="15" hidden="false" customHeight="false" outlineLevel="0" collapsed="false">
      <c r="A185" s="2" t="s">
        <v>963</v>
      </c>
      <c r="B185" s="2" t="s">
        <v>44</v>
      </c>
      <c r="C185" s="2" t="s">
        <v>47</v>
      </c>
      <c r="D185" s="2" t="s">
        <v>964</v>
      </c>
      <c r="E185" s="2" t="s">
        <v>965</v>
      </c>
      <c r="F185" s="2" t="s">
        <v>110</v>
      </c>
      <c r="G185" s="2" t="s">
        <v>608</v>
      </c>
      <c r="H185" s="32" t="n">
        <v>660</v>
      </c>
      <c r="I185" s="32" t="n">
        <v>660</v>
      </c>
      <c r="J185" s="33" t="n">
        <v>0.1</v>
      </c>
      <c r="K185" s="32" t="n">
        <v>66</v>
      </c>
      <c r="L185" s="12" t="n">
        <f aca="false">ROUND(I185*J185,2)</f>
        <v>66</v>
      </c>
      <c r="M185" s="12" t="n">
        <f aca="false">K185-L185</f>
        <v>0</v>
      </c>
      <c r="N185" s="12" t="n">
        <f aca="false">IF(F185="Promotional Incentive",0,I185)</f>
        <v>660</v>
      </c>
      <c r="O185" s="12" t="n">
        <f aca="false">IF(F185="Promotional Incentive",0,K185)</f>
        <v>66</v>
      </c>
      <c r="P185" s="11" t="s">
        <v>645</v>
      </c>
      <c r="Q185" s="2"/>
    </row>
    <row r="186" customFormat="false" ht="15" hidden="false" customHeight="false" outlineLevel="0" collapsed="false">
      <c r="A186" s="2" t="s">
        <v>966</v>
      </c>
      <c r="B186" s="2" t="s">
        <v>44</v>
      </c>
      <c r="C186" s="2" t="s">
        <v>47</v>
      </c>
      <c r="D186" s="2" t="s">
        <v>967</v>
      </c>
      <c r="E186" s="2" t="s">
        <v>968</v>
      </c>
      <c r="F186" s="2" t="s">
        <v>110</v>
      </c>
      <c r="G186" s="2" t="s">
        <v>760</v>
      </c>
      <c r="H186" s="32" t="n">
        <v>1081</v>
      </c>
      <c r="I186" s="32" t="n">
        <v>1081</v>
      </c>
      <c r="J186" s="33" t="n">
        <v>0.1</v>
      </c>
      <c r="K186" s="32" t="n">
        <v>108.1</v>
      </c>
      <c r="L186" s="12" t="n">
        <f aca="false">ROUND(I186*J186,2)</f>
        <v>108.1</v>
      </c>
      <c r="M186" s="12" t="n">
        <f aca="false">K186-L186</f>
        <v>0</v>
      </c>
      <c r="N186" s="12" t="n">
        <f aca="false">IF(F186="Promotional Incentive",0,I186)</f>
        <v>1081</v>
      </c>
      <c r="O186" s="12" t="n">
        <f aca="false">IF(F186="Promotional Incentive",0,K186)</f>
        <v>108.1</v>
      </c>
      <c r="P186" s="11" t="s">
        <v>645</v>
      </c>
      <c r="Q186" s="2"/>
    </row>
    <row r="187" customFormat="false" ht="15" hidden="false" customHeight="false" outlineLevel="0" collapsed="false">
      <c r="A187" s="2" t="s">
        <v>969</v>
      </c>
      <c r="B187" s="2" t="s">
        <v>44</v>
      </c>
      <c r="C187" s="2" t="s">
        <v>47</v>
      </c>
      <c r="D187" s="2" t="s">
        <v>970</v>
      </c>
      <c r="E187" s="2" t="s">
        <v>971</v>
      </c>
      <c r="F187" s="2" t="s">
        <v>644</v>
      </c>
      <c r="G187" s="2" t="s">
        <v>520</v>
      </c>
      <c r="H187" s="32" t="n">
        <v>400</v>
      </c>
      <c r="I187" s="32" t="n">
        <v>400</v>
      </c>
      <c r="J187" s="33" t="n">
        <v>0.1</v>
      </c>
      <c r="K187" s="32" t="n">
        <v>40</v>
      </c>
      <c r="L187" s="12" t="n">
        <f aca="false">ROUND(I187*J187,2)</f>
        <v>40</v>
      </c>
      <c r="M187" s="12" t="n">
        <f aca="false">K187-L187</f>
        <v>0</v>
      </c>
      <c r="N187" s="12" t="n">
        <f aca="false">IF(F187="Promotional Incentive",0,I187)</f>
        <v>400</v>
      </c>
      <c r="O187" s="12" t="n">
        <f aca="false">IF(F187="Promotional Incentive",0,K187)</f>
        <v>40</v>
      </c>
      <c r="P187" s="11" t="s">
        <v>645</v>
      </c>
      <c r="Q187" s="2"/>
    </row>
    <row r="188" customFormat="false" ht="15" hidden="false" customHeight="false" outlineLevel="0" collapsed="false">
      <c r="A188" s="2" t="s">
        <v>969</v>
      </c>
      <c r="B188" s="2" t="s">
        <v>44</v>
      </c>
      <c r="C188" s="2" t="s">
        <v>47</v>
      </c>
      <c r="D188" s="2" t="s">
        <v>970</v>
      </c>
      <c r="E188" s="2" t="s">
        <v>971</v>
      </c>
      <c r="F188" s="2" t="s">
        <v>110</v>
      </c>
      <c r="G188" s="2" t="s">
        <v>747</v>
      </c>
      <c r="H188" s="32" t="n">
        <v>47365</v>
      </c>
      <c r="I188" s="32" t="n">
        <v>47365</v>
      </c>
      <c r="J188" s="33" t="n">
        <v>0.1</v>
      </c>
      <c r="K188" s="32" t="n">
        <v>4736.5</v>
      </c>
      <c r="L188" s="12" t="n">
        <f aca="false">ROUND(I188*J188,2)</f>
        <v>4736.5</v>
      </c>
      <c r="M188" s="12" t="n">
        <f aca="false">K188-L188</f>
        <v>0</v>
      </c>
      <c r="N188" s="12" t="n">
        <f aca="false">IF(F188="Promotional Incentive",0,I188)</f>
        <v>47365</v>
      </c>
      <c r="O188" s="12" t="n">
        <f aca="false">IF(F188="Promotional Incentive",0,K188)</f>
        <v>4736.5</v>
      </c>
      <c r="P188" s="11" t="s">
        <v>645</v>
      </c>
      <c r="Q188" s="2"/>
    </row>
    <row r="189" customFormat="false" ht="15" hidden="false" customHeight="false" outlineLevel="0" collapsed="false">
      <c r="A189" s="2" t="s">
        <v>972</v>
      </c>
      <c r="B189" s="2" t="s">
        <v>44</v>
      </c>
      <c r="C189" s="2" t="s">
        <v>47</v>
      </c>
      <c r="D189" s="2" t="s">
        <v>354</v>
      </c>
      <c r="E189" s="2" t="s">
        <v>973</v>
      </c>
      <c r="F189" s="2" t="s">
        <v>110</v>
      </c>
      <c r="G189" s="2" t="s">
        <v>747</v>
      </c>
      <c r="H189" s="32" t="n">
        <v>2048</v>
      </c>
      <c r="I189" s="32" t="n">
        <v>2048</v>
      </c>
      <c r="J189" s="33" t="n">
        <v>0.1</v>
      </c>
      <c r="K189" s="32" t="n">
        <v>204.8</v>
      </c>
      <c r="L189" s="12" t="n">
        <f aca="false">ROUND(I189*J189,2)</f>
        <v>204.8</v>
      </c>
      <c r="M189" s="12" t="n">
        <f aca="false">K189-L189</f>
        <v>0</v>
      </c>
      <c r="N189" s="12" t="n">
        <f aca="false">IF(F189="Promotional Incentive",0,I189)</f>
        <v>2048</v>
      </c>
      <c r="O189" s="12" t="n">
        <f aca="false">IF(F189="Promotional Incentive",0,K189)</f>
        <v>204.8</v>
      </c>
      <c r="P189" s="11" t="s">
        <v>645</v>
      </c>
      <c r="Q189" s="2"/>
    </row>
    <row r="190" customFormat="false" ht="15" hidden="false" customHeight="false" outlineLevel="0" collapsed="false">
      <c r="A190" s="27" t="s">
        <v>280</v>
      </c>
      <c r="B190" s="27" t="s">
        <v>27</v>
      </c>
      <c r="C190" s="27" t="s">
        <v>30</v>
      </c>
      <c r="D190" s="27" t="s">
        <v>279</v>
      </c>
      <c r="E190" s="27" t="s">
        <v>974</v>
      </c>
      <c r="F190" s="27" t="s">
        <v>110</v>
      </c>
      <c r="G190" s="27" t="s">
        <v>614</v>
      </c>
      <c r="H190" s="28" t="n">
        <v>1425</v>
      </c>
      <c r="I190" s="28" t="n">
        <v>1425</v>
      </c>
      <c r="J190" s="29" t="n">
        <v>0.1</v>
      </c>
      <c r="K190" s="28" t="n">
        <v>142.5</v>
      </c>
      <c r="L190" s="30" t="n">
        <f aca="false">ROUND(I190*J190,2)</f>
        <v>142.5</v>
      </c>
      <c r="M190" s="30" t="n">
        <f aca="false">K190-L190</f>
        <v>0</v>
      </c>
      <c r="N190" s="30" t="n">
        <f aca="false">IF(F190="Promotional Incentive",0,I190)</f>
        <v>1425</v>
      </c>
      <c r="O190" s="30" t="n">
        <f aca="false">IF(F190="Promotional Incentive",0,K190)</f>
        <v>142.5</v>
      </c>
      <c r="P190" s="31" t="s">
        <v>596</v>
      </c>
      <c r="Q190" s="27" t="s">
        <v>278</v>
      </c>
    </row>
    <row r="191" customFormat="false" ht="15" hidden="false" customHeight="false" outlineLevel="0" collapsed="false">
      <c r="A191" s="27" t="s">
        <v>31</v>
      </c>
      <c r="B191" s="27" t="s">
        <v>27</v>
      </c>
      <c r="C191" s="27" t="s">
        <v>30</v>
      </c>
      <c r="D191" s="27" t="s">
        <v>28</v>
      </c>
      <c r="E191" s="27" t="s">
        <v>975</v>
      </c>
      <c r="F191" s="27" t="s">
        <v>976</v>
      </c>
      <c r="G191" s="27" t="s">
        <v>765</v>
      </c>
      <c r="H191" s="28" t="n">
        <v>1183</v>
      </c>
      <c r="I191" s="28" t="n">
        <v>1183</v>
      </c>
      <c r="J191" s="29" t="n">
        <v>0.1</v>
      </c>
      <c r="K191" s="28" t="n">
        <v>118.3</v>
      </c>
      <c r="L191" s="30" t="n">
        <f aca="false">ROUND(I191*J191,2)</f>
        <v>118.3</v>
      </c>
      <c r="M191" s="30" t="n">
        <f aca="false">K191-L191</f>
        <v>0</v>
      </c>
      <c r="N191" s="30" t="n">
        <f aca="false">IF(F191="Promotional Incentive",0,I191)</f>
        <v>1183</v>
      </c>
      <c r="O191" s="30" t="n">
        <f aca="false">IF(F191="Promotional Incentive",0,K191)</f>
        <v>118.3</v>
      </c>
      <c r="P191" s="31" t="s">
        <v>596</v>
      </c>
      <c r="Q191" s="27" t="s">
        <v>23</v>
      </c>
    </row>
    <row r="192" customFormat="false" ht="15" hidden="false" customHeight="false" outlineLevel="0" collapsed="false">
      <c r="A192" s="27" t="s">
        <v>35</v>
      </c>
      <c r="B192" s="27" t="s">
        <v>27</v>
      </c>
      <c r="C192" s="27" t="s">
        <v>30</v>
      </c>
      <c r="D192" s="27" t="s">
        <v>33</v>
      </c>
      <c r="E192" s="27" t="s">
        <v>977</v>
      </c>
      <c r="F192" s="27" t="s">
        <v>976</v>
      </c>
      <c r="G192" s="27" t="s">
        <v>523</v>
      </c>
      <c r="H192" s="28" t="n">
        <v>934</v>
      </c>
      <c r="I192" s="28" t="n">
        <v>934</v>
      </c>
      <c r="J192" s="29" t="n">
        <v>0.1</v>
      </c>
      <c r="K192" s="28" t="n">
        <v>93.4</v>
      </c>
      <c r="L192" s="30" t="n">
        <f aca="false">ROUND(I192*J192,2)</f>
        <v>93.4</v>
      </c>
      <c r="M192" s="30" t="n">
        <f aca="false">K192-L192</f>
        <v>0</v>
      </c>
      <c r="N192" s="30" t="n">
        <f aca="false">IF(F192="Promotional Incentive",0,I192)</f>
        <v>934</v>
      </c>
      <c r="O192" s="30" t="n">
        <f aca="false">IF(F192="Promotional Incentive",0,K192)</f>
        <v>93.4</v>
      </c>
      <c r="P192" s="31" t="s">
        <v>596</v>
      </c>
      <c r="Q192" s="27" t="s">
        <v>32</v>
      </c>
    </row>
    <row r="193" customFormat="false" ht="15" hidden="false" customHeight="false" outlineLevel="0" collapsed="false">
      <c r="A193" s="27" t="s">
        <v>82</v>
      </c>
      <c r="B193" s="27" t="s">
        <v>27</v>
      </c>
      <c r="C193" s="27" t="s">
        <v>30</v>
      </c>
      <c r="D193" s="27" t="s">
        <v>80</v>
      </c>
      <c r="E193" s="27" t="s">
        <v>978</v>
      </c>
      <c r="F193" s="27" t="s">
        <v>976</v>
      </c>
      <c r="G193" s="27" t="s">
        <v>608</v>
      </c>
      <c r="H193" s="28" t="n">
        <v>810</v>
      </c>
      <c r="I193" s="28" t="n">
        <v>810</v>
      </c>
      <c r="J193" s="29" t="n">
        <v>0.1</v>
      </c>
      <c r="K193" s="28" t="n">
        <v>81</v>
      </c>
      <c r="L193" s="30" t="n">
        <f aca="false">ROUND(I193*J193,2)</f>
        <v>81</v>
      </c>
      <c r="M193" s="30" t="n">
        <f aca="false">K193-L193</f>
        <v>0</v>
      </c>
      <c r="N193" s="30" t="n">
        <f aca="false">IF(F193="Promotional Incentive",0,I193)</f>
        <v>810</v>
      </c>
      <c r="O193" s="30" t="n">
        <f aca="false">IF(F193="Promotional Incentive",0,K193)</f>
        <v>81</v>
      </c>
      <c r="P193" s="31" t="s">
        <v>596</v>
      </c>
      <c r="Q193" s="27" t="s">
        <v>79</v>
      </c>
    </row>
    <row r="194" customFormat="false" ht="15" hidden="false" customHeight="false" outlineLevel="0" collapsed="false">
      <c r="A194" s="27" t="s">
        <v>90</v>
      </c>
      <c r="B194" s="27" t="s">
        <v>27</v>
      </c>
      <c r="C194" s="27" t="s">
        <v>30</v>
      </c>
      <c r="D194" s="27" t="s">
        <v>88</v>
      </c>
      <c r="E194" s="27" t="s">
        <v>979</v>
      </c>
      <c r="F194" s="27" t="s">
        <v>976</v>
      </c>
      <c r="G194" s="27" t="s">
        <v>618</v>
      </c>
      <c r="H194" s="28" t="n">
        <v>1450</v>
      </c>
      <c r="I194" s="28" t="n">
        <v>1450</v>
      </c>
      <c r="J194" s="29" t="n">
        <v>0.1</v>
      </c>
      <c r="K194" s="28" t="n">
        <v>145</v>
      </c>
      <c r="L194" s="30" t="n">
        <f aca="false">ROUND(I194*J194,2)</f>
        <v>145</v>
      </c>
      <c r="M194" s="30" t="n">
        <f aca="false">K194-L194</f>
        <v>0</v>
      </c>
      <c r="N194" s="30" t="n">
        <f aca="false">IF(F194="Promotional Incentive",0,I194)</f>
        <v>1450</v>
      </c>
      <c r="O194" s="30" t="n">
        <f aca="false">IF(F194="Promotional Incentive",0,K194)</f>
        <v>145</v>
      </c>
      <c r="P194" s="31" t="s">
        <v>596</v>
      </c>
      <c r="Q194" s="27" t="s">
        <v>87</v>
      </c>
    </row>
    <row r="195" customFormat="false" ht="15" hidden="false" customHeight="false" outlineLevel="0" collapsed="false">
      <c r="A195" s="2" t="s">
        <v>980</v>
      </c>
      <c r="B195" s="2" t="s">
        <v>27</v>
      </c>
      <c r="C195" s="2" t="s">
        <v>30</v>
      </c>
      <c r="D195" s="2" t="s">
        <v>981</v>
      </c>
      <c r="E195" s="2" t="s">
        <v>982</v>
      </c>
      <c r="F195" s="2" t="s">
        <v>983</v>
      </c>
      <c r="G195" s="2" t="s">
        <v>600</v>
      </c>
      <c r="H195" s="32" t="n">
        <v>36</v>
      </c>
      <c r="I195" s="32" t="n">
        <v>36</v>
      </c>
      <c r="J195" s="33" t="n">
        <v>0.1</v>
      </c>
      <c r="K195" s="32" t="n">
        <v>3.6</v>
      </c>
      <c r="L195" s="12" t="n">
        <f aca="false">ROUND(I195*J195,2)</f>
        <v>3.6</v>
      </c>
      <c r="M195" s="12" t="n">
        <f aca="false">K195-L195</f>
        <v>0</v>
      </c>
      <c r="N195" s="12" t="n">
        <f aca="false">IF(F195="Promotional Incentive",0,I195)</f>
        <v>36</v>
      </c>
      <c r="O195" s="12" t="n">
        <f aca="false">IF(F195="Promotional Incentive",0,K195)</f>
        <v>3.6</v>
      </c>
      <c r="P195" s="11" t="s">
        <v>645</v>
      </c>
      <c r="Q195" s="2"/>
    </row>
    <row r="196" customFormat="false" ht="15" hidden="false" customHeight="false" outlineLevel="0" collapsed="false">
      <c r="A196" s="2" t="s">
        <v>980</v>
      </c>
      <c r="B196" s="2" t="s">
        <v>27</v>
      </c>
      <c r="C196" s="2" t="s">
        <v>30</v>
      </c>
      <c r="D196" s="2" t="s">
        <v>981</v>
      </c>
      <c r="E196" s="2" t="s">
        <v>982</v>
      </c>
      <c r="F196" s="2" t="s">
        <v>984</v>
      </c>
      <c r="G196" s="2" t="s">
        <v>620</v>
      </c>
      <c r="H196" s="32" t="n">
        <v>-189</v>
      </c>
      <c r="I196" s="32" t="n">
        <v>-189</v>
      </c>
      <c r="J196" s="33" t="n">
        <v>0.1</v>
      </c>
      <c r="K196" s="32" t="n">
        <v>-18.9</v>
      </c>
      <c r="L196" s="12" t="n">
        <f aca="false">ROUND(I196*J196,2)</f>
        <v>-18.9</v>
      </c>
      <c r="M196" s="12" t="n">
        <f aca="false">K196-L196</f>
        <v>0</v>
      </c>
      <c r="N196" s="12" t="n">
        <f aca="false">IF(F196="Promotional Incentive",0,I196)</f>
        <v>-189</v>
      </c>
      <c r="O196" s="12" t="n">
        <f aca="false">IF(F196="Promotional Incentive",0,K196)</f>
        <v>-18.9</v>
      </c>
      <c r="P196" s="11" t="s">
        <v>645</v>
      </c>
      <c r="Q196" s="2"/>
    </row>
    <row r="197" customFormat="false" ht="15" hidden="false" customHeight="false" outlineLevel="0" collapsed="false">
      <c r="A197" s="2" t="s">
        <v>985</v>
      </c>
      <c r="B197" s="2" t="s">
        <v>27</v>
      </c>
      <c r="C197" s="2" t="s">
        <v>30</v>
      </c>
      <c r="D197" s="2" t="s">
        <v>358</v>
      </c>
      <c r="E197" s="2" t="s">
        <v>986</v>
      </c>
      <c r="F197" s="2" t="s">
        <v>976</v>
      </c>
      <c r="G197" s="2" t="s">
        <v>845</v>
      </c>
      <c r="H197" s="32" t="n">
        <v>361</v>
      </c>
      <c r="I197" s="32" t="n">
        <v>361</v>
      </c>
      <c r="J197" s="33" t="n">
        <v>0.1</v>
      </c>
      <c r="K197" s="32" t="n">
        <v>36.1</v>
      </c>
      <c r="L197" s="12" t="n">
        <f aca="false">ROUND(I197*J197,2)</f>
        <v>36.1</v>
      </c>
      <c r="M197" s="12" t="n">
        <f aca="false">K197-L197</f>
        <v>0</v>
      </c>
      <c r="N197" s="12" t="n">
        <f aca="false">IF(F197="Promotional Incentive",0,I197)</f>
        <v>361</v>
      </c>
      <c r="O197" s="12" t="n">
        <f aca="false">IF(F197="Promotional Incentive",0,K197)</f>
        <v>36.1</v>
      </c>
      <c r="P197" s="11" t="s">
        <v>645</v>
      </c>
      <c r="Q197" s="2"/>
    </row>
    <row r="198" customFormat="false" ht="15" hidden="false" customHeight="false" outlineLevel="0" collapsed="false">
      <c r="A198" s="2" t="s">
        <v>987</v>
      </c>
      <c r="B198" s="2" t="s">
        <v>27</v>
      </c>
      <c r="C198" s="2" t="s">
        <v>30</v>
      </c>
      <c r="D198" s="2" t="s">
        <v>362</v>
      </c>
      <c r="E198" s="2" t="s">
        <v>988</v>
      </c>
      <c r="F198" s="2" t="s">
        <v>984</v>
      </c>
      <c r="G198" s="2" t="s">
        <v>989</v>
      </c>
      <c r="H198" s="32" t="n">
        <v>-584</v>
      </c>
      <c r="I198" s="32" t="n">
        <v>-584</v>
      </c>
      <c r="J198" s="33" t="n">
        <v>0.1</v>
      </c>
      <c r="K198" s="32" t="n">
        <v>-58.4</v>
      </c>
      <c r="L198" s="12" t="n">
        <f aca="false">ROUND(I198*J198,2)</f>
        <v>-58.4</v>
      </c>
      <c r="M198" s="12" t="n">
        <f aca="false">K198-L198</f>
        <v>0</v>
      </c>
      <c r="N198" s="12" t="n">
        <f aca="false">IF(F198="Promotional Incentive",0,I198)</f>
        <v>-584</v>
      </c>
      <c r="O198" s="12" t="n">
        <f aca="false">IF(F198="Promotional Incentive",0,K198)</f>
        <v>-58.4</v>
      </c>
      <c r="P198" s="11" t="s">
        <v>645</v>
      </c>
      <c r="Q198" s="2"/>
    </row>
    <row r="199" customFormat="false" ht="15" hidden="false" customHeight="false" outlineLevel="0" collapsed="false">
      <c r="A199" s="2" t="s">
        <v>987</v>
      </c>
      <c r="B199" s="2" t="s">
        <v>27</v>
      </c>
      <c r="C199" s="2" t="s">
        <v>30</v>
      </c>
      <c r="D199" s="2" t="s">
        <v>362</v>
      </c>
      <c r="E199" s="2" t="s">
        <v>988</v>
      </c>
      <c r="F199" s="2" t="s">
        <v>984</v>
      </c>
      <c r="G199" s="2" t="s">
        <v>689</v>
      </c>
      <c r="H199" s="32" t="n">
        <v>-2950</v>
      </c>
      <c r="I199" s="32" t="n">
        <v>-2950</v>
      </c>
      <c r="J199" s="33" t="n">
        <v>0.1</v>
      </c>
      <c r="K199" s="32" t="n">
        <v>-295</v>
      </c>
      <c r="L199" s="12" t="n">
        <f aca="false">ROUND(I199*J199,2)</f>
        <v>-295</v>
      </c>
      <c r="M199" s="12" t="n">
        <f aca="false">K199-L199</f>
        <v>0</v>
      </c>
      <c r="N199" s="12" t="n">
        <f aca="false">IF(F199="Promotional Incentive",0,I199)</f>
        <v>-2950</v>
      </c>
      <c r="O199" s="12" t="n">
        <f aca="false">IF(F199="Promotional Incentive",0,K199)</f>
        <v>-295</v>
      </c>
      <c r="P199" s="11" t="s">
        <v>645</v>
      </c>
      <c r="Q199" s="2"/>
    </row>
    <row r="200" customFormat="false" ht="15" hidden="false" customHeight="false" outlineLevel="0" collapsed="false">
      <c r="A200" s="2" t="s">
        <v>990</v>
      </c>
      <c r="B200" s="2" t="s">
        <v>27</v>
      </c>
      <c r="C200" s="2" t="s">
        <v>30</v>
      </c>
      <c r="D200" s="2" t="s">
        <v>365</v>
      </c>
      <c r="E200" s="2" t="s">
        <v>991</v>
      </c>
      <c r="F200" s="2" t="s">
        <v>984</v>
      </c>
      <c r="G200" s="2" t="s">
        <v>630</v>
      </c>
      <c r="H200" s="32" t="n">
        <v>-460</v>
      </c>
      <c r="I200" s="32" t="n">
        <v>-460</v>
      </c>
      <c r="J200" s="33" t="n">
        <v>0.1</v>
      </c>
      <c r="K200" s="32" t="n">
        <v>-46</v>
      </c>
      <c r="L200" s="12" t="n">
        <f aca="false">ROUND(I200*J200,2)</f>
        <v>-46</v>
      </c>
      <c r="M200" s="12" t="n">
        <f aca="false">K200-L200</f>
        <v>0</v>
      </c>
      <c r="N200" s="12" t="n">
        <f aca="false">IF(F200="Promotional Incentive",0,I200)</f>
        <v>-460</v>
      </c>
      <c r="O200" s="12" t="n">
        <f aca="false">IF(F200="Promotional Incentive",0,K200)</f>
        <v>-46</v>
      </c>
      <c r="P200" s="11" t="s">
        <v>645</v>
      </c>
      <c r="Q200" s="2"/>
    </row>
    <row r="201" customFormat="false" ht="15" hidden="false" customHeight="false" outlineLevel="0" collapsed="false">
      <c r="A201" s="2" t="s">
        <v>992</v>
      </c>
      <c r="B201" s="2" t="s">
        <v>27</v>
      </c>
      <c r="C201" s="2" t="s">
        <v>30</v>
      </c>
      <c r="D201" s="2" t="s">
        <v>368</v>
      </c>
      <c r="E201" s="2" t="s">
        <v>993</v>
      </c>
      <c r="F201" s="2" t="s">
        <v>983</v>
      </c>
      <c r="G201" s="2" t="s">
        <v>608</v>
      </c>
      <c r="H201" s="32" t="n">
        <v>-6</v>
      </c>
      <c r="I201" s="32" t="n">
        <v>-6</v>
      </c>
      <c r="J201" s="33" t="n">
        <v>0.1</v>
      </c>
      <c r="K201" s="32" t="n">
        <v>-0.6</v>
      </c>
      <c r="L201" s="12" t="n">
        <f aca="false">ROUND(I201*J201,2)</f>
        <v>-0.6</v>
      </c>
      <c r="M201" s="12" t="n">
        <f aca="false">K201-L201</f>
        <v>0</v>
      </c>
      <c r="N201" s="12" t="n">
        <f aca="false">IF(F201="Promotional Incentive",0,I201)</f>
        <v>-6</v>
      </c>
      <c r="O201" s="12" t="n">
        <f aca="false">IF(F201="Promotional Incentive",0,K201)</f>
        <v>-0.6</v>
      </c>
      <c r="P201" s="11" t="s">
        <v>645</v>
      </c>
      <c r="Q201" s="2"/>
    </row>
    <row r="202" customFormat="false" ht="15" hidden="false" customHeight="false" outlineLevel="0" collapsed="false">
      <c r="A202" s="2" t="s">
        <v>992</v>
      </c>
      <c r="B202" s="2" t="s">
        <v>27</v>
      </c>
      <c r="C202" s="2" t="s">
        <v>30</v>
      </c>
      <c r="D202" s="2" t="s">
        <v>368</v>
      </c>
      <c r="E202" s="2" t="s">
        <v>993</v>
      </c>
      <c r="F202" s="2" t="s">
        <v>983</v>
      </c>
      <c r="G202" s="2" t="s">
        <v>608</v>
      </c>
      <c r="H202" s="32" t="n">
        <v>-44</v>
      </c>
      <c r="I202" s="32" t="n">
        <v>-44</v>
      </c>
      <c r="J202" s="33" t="n">
        <v>0.1</v>
      </c>
      <c r="K202" s="32" t="n">
        <v>-4.4</v>
      </c>
      <c r="L202" s="12" t="n">
        <f aca="false">ROUND(I202*J202,2)</f>
        <v>-4.4</v>
      </c>
      <c r="M202" s="12" t="n">
        <f aca="false">K202-L202</f>
        <v>0</v>
      </c>
      <c r="N202" s="12" t="n">
        <f aca="false">IF(F202="Promotional Incentive",0,I202)</f>
        <v>-44</v>
      </c>
      <c r="O202" s="12" t="n">
        <f aca="false">IF(F202="Promotional Incentive",0,K202)</f>
        <v>-4.4</v>
      </c>
      <c r="P202" s="11" t="s">
        <v>645</v>
      </c>
      <c r="Q202" s="2"/>
    </row>
    <row r="203" customFormat="false" ht="15" hidden="false" customHeight="false" outlineLevel="0" collapsed="false">
      <c r="A203" s="2" t="s">
        <v>994</v>
      </c>
      <c r="B203" s="2" t="s">
        <v>27</v>
      </c>
      <c r="C203" s="2" t="s">
        <v>30</v>
      </c>
      <c r="D203" s="2" t="s">
        <v>371</v>
      </c>
      <c r="E203" s="2" t="s">
        <v>995</v>
      </c>
      <c r="F203" s="2" t="s">
        <v>984</v>
      </c>
      <c r="G203" s="2" t="s">
        <v>996</v>
      </c>
      <c r="H203" s="32" t="n">
        <v>-698</v>
      </c>
      <c r="I203" s="32" t="n">
        <v>-698</v>
      </c>
      <c r="J203" s="33" t="n">
        <v>0.1</v>
      </c>
      <c r="K203" s="32" t="n">
        <v>-69.8</v>
      </c>
      <c r="L203" s="12" t="n">
        <f aca="false">ROUND(I203*J203,2)</f>
        <v>-69.8</v>
      </c>
      <c r="M203" s="12" t="n">
        <f aca="false">K203-L203</f>
        <v>0</v>
      </c>
      <c r="N203" s="12" t="n">
        <f aca="false">IF(F203="Promotional Incentive",0,I203)</f>
        <v>-698</v>
      </c>
      <c r="O203" s="12" t="n">
        <f aca="false">IF(F203="Promotional Incentive",0,K203)</f>
        <v>-69.8</v>
      </c>
      <c r="P203" s="11" t="s">
        <v>645</v>
      </c>
      <c r="Q203" s="2"/>
    </row>
    <row r="204" customFormat="false" ht="15" hidden="false" customHeight="false" outlineLevel="0" collapsed="false">
      <c r="A204" s="2" t="s">
        <v>997</v>
      </c>
      <c r="B204" s="2" t="s">
        <v>27</v>
      </c>
      <c r="C204" s="2" t="s">
        <v>30</v>
      </c>
      <c r="D204" s="2" t="s">
        <v>998</v>
      </c>
      <c r="E204" s="2" t="s">
        <v>999</v>
      </c>
      <c r="F204" s="2" t="s">
        <v>976</v>
      </c>
      <c r="G204" s="2" t="s">
        <v>604</v>
      </c>
      <c r="H204" s="32" t="n">
        <v>1653</v>
      </c>
      <c r="I204" s="32" t="n">
        <v>1653</v>
      </c>
      <c r="J204" s="33" t="n">
        <v>0.1</v>
      </c>
      <c r="K204" s="32" t="n">
        <v>165.3</v>
      </c>
      <c r="L204" s="12" t="n">
        <f aca="false">ROUND(I204*J204,2)</f>
        <v>165.3</v>
      </c>
      <c r="M204" s="12" t="n">
        <f aca="false">K204-L204</f>
        <v>0</v>
      </c>
      <c r="N204" s="12" t="n">
        <f aca="false">IF(F204="Promotional Incentive",0,I204)</f>
        <v>1653</v>
      </c>
      <c r="O204" s="12" t="n">
        <f aca="false">IF(F204="Promotional Incentive",0,K204)</f>
        <v>165.3</v>
      </c>
      <c r="P204" s="11" t="s">
        <v>645</v>
      </c>
      <c r="Q204" s="2"/>
    </row>
    <row r="205" customFormat="false" ht="15" hidden="false" customHeight="false" outlineLevel="0" collapsed="false">
      <c r="A205" s="2" t="s">
        <v>997</v>
      </c>
      <c r="B205" s="2" t="s">
        <v>27</v>
      </c>
      <c r="C205" s="2" t="s">
        <v>30</v>
      </c>
      <c r="D205" s="2" t="s">
        <v>998</v>
      </c>
      <c r="E205" s="2" t="s">
        <v>999</v>
      </c>
      <c r="F205" s="2" t="s">
        <v>983</v>
      </c>
      <c r="G205" s="2" t="s">
        <v>604</v>
      </c>
      <c r="H205" s="32" t="n">
        <v>170</v>
      </c>
      <c r="I205" s="32" t="n">
        <v>170</v>
      </c>
      <c r="J205" s="33" t="n">
        <v>0.1</v>
      </c>
      <c r="K205" s="32" t="n">
        <v>17</v>
      </c>
      <c r="L205" s="12" t="n">
        <f aca="false">ROUND(I205*J205,2)</f>
        <v>17</v>
      </c>
      <c r="M205" s="12" t="n">
        <f aca="false">K205-L205</f>
        <v>0</v>
      </c>
      <c r="N205" s="12" t="n">
        <f aca="false">IF(F205="Promotional Incentive",0,I205)</f>
        <v>170</v>
      </c>
      <c r="O205" s="12" t="n">
        <f aca="false">IF(F205="Promotional Incentive",0,K205)</f>
        <v>17</v>
      </c>
      <c r="P205" s="11" t="s">
        <v>645</v>
      </c>
      <c r="Q205" s="2"/>
    </row>
    <row r="206" customFormat="false" ht="15" hidden="false" customHeight="false" outlineLevel="0" collapsed="false">
      <c r="A206" s="2" t="s">
        <v>997</v>
      </c>
      <c r="B206" s="2" t="s">
        <v>27</v>
      </c>
      <c r="C206" s="2" t="s">
        <v>30</v>
      </c>
      <c r="D206" s="2" t="s">
        <v>998</v>
      </c>
      <c r="E206" s="2" t="s">
        <v>999</v>
      </c>
      <c r="F206" s="2" t="s">
        <v>983</v>
      </c>
      <c r="G206" s="2" t="s">
        <v>620</v>
      </c>
      <c r="H206" s="32" t="n">
        <v>-160</v>
      </c>
      <c r="I206" s="32" t="n">
        <v>-160</v>
      </c>
      <c r="J206" s="33" t="n">
        <v>0.1</v>
      </c>
      <c r="K206" s="32" t="n">
        <v>-16</v>
      </c>
      <c r="L206" s="12" t="n">
        <f aca="false">ROUND(I206*J206,2)</f>
        <v>-16</v>
      </c>
      <c r="M206" s="12" t="n">
        <f aca="false">K206-L206</f>
        <v>0</v>
      </c>
      <c r="N206" s="12" t="n">
        <f aca="false">IF(F206="Promotional Incentive",0,I206)</f>
        <v>-160</v>
      </c>
      <c r="O206" s="12" t="n">
        <f aca="false">IF(F206="Promotional Incentive",0,K206)</f>
        <v>-16</v>
      </c>
      <c r="P206" s="11" t="s">
        <v>645</v>
      </c>
      <c r="Q206" s="2"/>
    </row>
    <row r="207" customFormat="false" ht="15" hidden="false" customHeight="false" outlineLevel="0" collapsed="false">
      <c r="A207" s="2" t="s">
        <v>1000</v>
      </c>
      <c r="B207" s="2" t="s">
        <v>27</v>
      </c>
      <c r="C207" s="2" t="s">
        <v>30</v>
      </c>
      <c r="D207" s="2" t="s">
        <v>1001</v>
      </c>
      <c r="E207" s="2" t="s">
        <v>1002</v>
      </c>
      <c r="F207" s="2" t="s">
        <v>976</v>
      </c>
      <c r="G207" s="2" t="s">
        <v>823</v>
      </c>
      <c r="H207" s="32" t="n">
        <v>1948</v>
      </c>
      <c r="I207" s="32" t="n">
        <v>1948</v>
      </c>
      <c r="J207" s="33" t="n">
        <v>0.1</v>
      </c>
      <c r="K207" s="32" t="n">
        <v>194.8</v>
      </c>
      <c r="L207" s="12" t="n">
        <f aca="false">ROUND(I207*J207,2)</f>
        <v>194.8</v>
      </c>
      <c r="M207" s="12" t="n">
        <f aca="false">K207-L207</f>
        <v>0</v>
      </c>
      <c r="N207" s="12" t="n">
        <f aca="false">IF(F207="Promotional Incentive",0,I207)</f>
        <v>1948</v>
      </c>
      <c r="O207" s="12" t="n">
        <f aca="false">IF(F207="Promotional Incentive",0,K207)</f>
        <v>194.8</v>
      </c>
      <c r="P207" s="11" t="s">
        <v>645</v>
      </c>
      <c r="Q207" s="2"/>
    </row>
    <row r="208" customFormat="false" ht="15" hidden="false" customHeight="false" outlineLevel="0" collapsed="false">
      <c r="A208" s="2" t="s">
        <v>1003</v>
      </c>
      <c r="B208" s="2" t="s">
        <v>27</v>
      </c>
      <c r="C208" s="2" t="s">
        <v>30</v>
      </c>
      <c r="D208" s="2" t="s">
        <v>1004</v>
      </c>
      <c r="E208" s="2" t="s">
        <v>1005</v>
      </c>
      <c r="F208" s="2" t="s">
        <v>976</v>
      </c>
      <c r="G208" s="2" t="s">
        <v>506</v>
      </c>
      <c r="H208" s="32" t="n">
        <v>1245</v>
      </c>
      <c r="I208" s="32" t="n">
        <v>1245</v>
      </c>
      <c r="J208" s="33" t="n">
        <v>0.1</v>
      </c>
      <c r="K208" s="32" t="n">
        <v>124.5</v>
      </c>
      <c r="L208" s="12" t="n">
        <f aca="false">ROUND(I208*J208,2)</f>
        <v>124.5</v>
      </c>
      <c r="M208" s="12" t="n">
        <f aca="false">K208-L208</f>
        <v>0</v>
      </c>
      <c r="N208" s="12" t="n">
        <f aca="false">IF(F208="Promotional Incentive",0,I208)</f>
        <v>1245</v>
      </c>
      <c r="O208" s="12" t="n">
        <f aca="false">IF(F208="Promotional Incentive",0,K208)</f>
        <v>124.5</v>
      </c>
      <c r="P208" s="11" t="s">
        <v>645</v>
      </c>
      <c r="Q208" s="2"/>
    </row>
    <row r="209" customFormat="false" ht="15" hidden="false" customHeight="false" outlineLevel="0" collapsed="false">
      <c r="A209" s="2" t="s">
        <v>1006</v>
      </c>
      <c r="B209" s="2" t="s">
        <v>27</v>
      </c>
      <c r="C209" s="2" t="s">
        <v>30</v>
      </c>
      <c r="D209" s="2" t="s">
        <v>1007</v>
      </c>
      <c r="E209" s="2" t="s">
        <v>1008</v>
      </c>
      <c r="F209" s="2" t="s">
        <v>983</v>
      </c>
      <c r="G209" s="2" t="s">
        <v>823</v>
      </c>
      <c r="H209" s="32" t="n">
        <v>-425</v>
      </c>
      <c r="I209" s="32" t="n">
        <v>-425</v>
      </c>
      <c r="J209" s="33" t="n">
        <v>0.1</v>
      </c>
      <c r="K209" s="32" t="n">
        <v>-42.5</v>
      </c>
      <c r="L209" s="12" t="n">
        <f aca="false">ROUND(I209*J209,2)</f>
        <v>-42.5</v>
      </c>
      <c r="M209" s="12" t="n">
        <f aca="false">K209-L209</f>
        <v>0</v>
      </c>
      <c r="N209" s="12" t="n">
        <f aca="false">IF(F209="Promotional Incentive",0,I209)</f>
        <v>-425</v>
      </c>
      <c r="O209" s="12" t="n">
        <f aca="false">IF(F209="Promotional Incentive",0,K209)</f>
        <v>-42.5</v>
      </c>
      <c r="P209" s="11" t="s">
        <v>645</v>
      </c>
      <c r="Q209" s="2"/>
    </row>
    <row r="210" customFormat="false" ht="15" hidden="false" customHeight="false" outlineLevel="0" collapsed="false">
      <c r="A210" s="2" t="s">
        <v>1009</v>
      </c>
      <c r="B210" s="2" t="s">
        <v>27</v>
      </c>
      <c r="C210" s="2" t="s">
        <v>30</v>
      </c>
      <c r="D210" s="2" t="s">
        <v>1010</v>
      </c>
      <c r="E210" s="2" t="s">
        <v>1011</v>
      </c>
      <c r="F210" s="2" t="s">
        <v>983</v>
      </c>
      <c r="G210" s="2" t="s">
        <v>624</v>
      </c>
      <c r="H210" s="32" t="n">
        <v>1590</v>
      </c>
      <c r="I210" s="32" t="n">
        <v>1590</v>
      </c>
      <c r="J210" s="33" t="n">
        <v>0.1</v>
      </c>
      <c r="K210" s="32" t="n">
        <v>159</v>
      </c>
      <c r="L210" s="12" t="n">
        <f aca="false">ROUND(I210*J210,2)</f>
        <v>159</v>
      </c>
      <c r="M210" s="12" t="n">
        <f aca="false">K210-L210</f>
        <v>0</v>
      </c>
      <c r="N210" s="12" t="n">
        <f aca="false">IF(F210="Promotional Incentive",0,I210)</f>
        <v>1590</v>
      </c>
      <c r="O210" s="12" t="n">
        <f aca="false">IF(F210="Promotional Incentive",0,K210)</f>
        <v>159</v>
      </c>
      <c r="P210" s="11" t="s">
        <v>645</v>
      </c>
      <c r="Q210" s="2"/>
    </row>
    <row r="211" customFormat="false" ht="15" hidden="false" customHeight="false" outlineLevel="0" collapsed="false">
      <c r="A211" s="2" t="s">
        <v>1009</v>
      </c>
      <c r="B211" s="2" t="s">
        <v>27</v>
      </c>
      <c r="C211" s="2" t="s">
        <v>30</v>
      </c>
      <c r="D211" s="2" t="s">
        <v>1010</v>
      </c>
      <c r="E211" s="2" t="s">
        <v>1011</v>
      </c>
      <c r="F211" s="2" t="s">
        <v>983</v>
      </c>
      <c r="G211" s="2" t="s">
        <v>628</v>
      </c>
      <c r="H211" s="32" t="n">
        <v>1326</v>
      </c>
      <c r="I211" s="32" t="n">
        <v>1326</v>
      </c>
      <c r="J211" s="33" t="n">
        <v>0.1</v>
      </c>
      <c r="K211" s="32" t="n">
        <v>132.6</v>
      </c>
      <c r="L211" s="12" t="n">
        <f aca="false">ROUND(I211*J211,2)</f>
        <v>132.6</v>
      </c>
      <c r="M211" s="12" t="n">
        <f aca="false">K211-L211</f>
        <v>0</v>
      </c>
      <c r="N211" s="12" t="n">
        <f aca="false">IF(F211="Promotional Incentive",0,I211)</f>
        <v>1326</v>
      </c>
      <c r="O211" s="12" t="n">
        <f aca="false">IF(F211="Promotional Incentive",0,K211)</f>
        <v>132.6</v>
      </c>
      <c r="P211" s="11" t="s">
        <v>645</v>
      </c>
      <c r="Q211" s="2"/>
    </row>
    <row r="212" customFormat="false" ht="15" hidden="false" customHeight="false" outlineLevel="0" collapsed="false">
      <c r="A212" s="2" t="s">
        <v>1012</v>
      </c>
      <c r="B212" s="2" t="s">
        <v>27</v>
      </c>
      <c r="C212" s="2" t="s">
        <v>30</v>
      </c>
      <c r="D212" s="2" t="s">
        <v>1013</v>
      </c>
      <c r="E212" s="2" t="s">
        <v>1014</v>
      </c>
      <c r="F212" s="2" t="s">
        <v>983</v>
      </c>
      <c r="G212" s="2" t="s">
        <v>624</v>
      </c>
      <c r="H212" s="32" t="n">
        <v>-1</v>
      </c>
      <c r="I212" s="32" t="n">
        <v>-1</v>
      </c>
      <c r="J212" s="33" t="n">
        <v>0.1</v>
      </c>
      <c r="K212" s="32" t="n">
        <v>-0.1</v>
      </c>
      <c r="L212" s="12" t="n">
        <f aca="false">ROUND(I212*J212,2)</f>
        <v>-0.1</v>
      </c>
      <c r="M212" s="12" t="n">
        <f aca="false">K212-L212</f>
        <v>0</v>
      </c>
      <c r="N212" s="12" t="n">
        <f aca="false">IF(F212="Promotional Incentive",0,I212)</f>
        <v>-1</v>
      </c>
      <c r="O212" s="12" t="n">
        <f aca="false">IF(F212="Promotional Incentive",0,K212)</f>
        <v>-0.1</v>
      </c>
      <c r="P212" s="11" t="s">
        <v>645</v>
      </c>
      <c r="Q212" s="2"/>
    </row>
    <row r="213" customFormat="false" ht="15" hidden="false" customHeight="false" outlineLevel="0" collapsed="false">
      <c r="A213" s="2" t="s">
        <v>1012</v>
      </c>
      <c r="B213" s="2" t="s">
        <v>27</v>
      </c>
      <c r="C213" s="2" t="s">
        <v>30</v>
      </c>
      <c r="D213" s="2" t="s">
        <v>1013</v>
      </c>
      <c r="E213" s="2" t="s">
        <v>1014</v>
      </c>
      <c r="F213" s="2" t="s">
        <v>983</v>
      </c>
      <c r="G213" s="2" t="s">
        <v>731</v>
      </c>
      <c r="H213" s="32" t="n">
        <v>272</v>
      </c>
      <c r="I213" s="32" t="n">
        <v>272</v>
      </c>
      <c r="J213" s="33" t="n">
        <v>0.1</v>
      </c>
      <c r="K213" s="32" t="n">
        <v>27.2</v>
      </c>
      <c r="L213" s="12" t="n">
        <f aca="false">ROUND(I213*J213,2)</f>
        <v>27.2</v>
      </c>
      <c r="M213" s="12" t="n">
        <f aca="false">K213-L213</f>
        <v>0</v>
      </c>
      <c r="N213" s="12" t="n">
        <f aca="false">IF(F213="Promotional Incentive",0,I213)</f>
        <v>272</v>
      </c>
      <c r="O213" s="12" t="n">
        <f aca="false">IF(F213="Promotional Incentive",0,K213)</f>
        <v>27.2</v>
      </c>
      <c r="P213" s="11" t="s">
        <v>645</v>
      </c>
      <c r="Q213" s="2"/>
    </row>
    <row r="214" customFormat="false" ht="15" hidden="false" customHeight="false" outlineLevel="0" collapsed="false">
      <c r="A214" s="2" t="s">
        <v>1015</v>
      </c>
      <c r="B214" s="2" t="s">
        <v>27</v>
      </c>
      <c r="C214" s="2" t="s">
        <v>30</v>
      </c>
      <c r="D214" s="2" t="s">
        <v>374</v>
      </c>
      <c r="E214" s="2" t="s">
        <v>1016</v>
      </c>
      <c r="F214" s="2" t="s">
        <v>984</v>
      </c>
      <c r="G214" s="2" t="s">
        <v>760</v>
      </c>
      <c r="H214" s="32" t="n">
        <v>-2545</v>
      </c>
      <c r="I214" s="32" t="n">
        <v>-2545</v>
      </c>
      <c r="J214" s="33" t="n">
        <v>0.1</v>
      </c>
      <c r="K214" s="32" t="n">
        <v>-254.5</v>
      </c>
      <c r="L214" s="12" t="n">
        <f aca="false">ROUND(I214*J214,2)</f>
        <v>-254.5</v>
      </c>
      <c r="M214" s="12" t="n">
        <f aca="false">K214-L214</f>
        <v>0</v>
      </c>
      <c r="N214" s="12" t="n">
        <f aca="false">IF(F214="Promotional Incentive",0,I214)</f>
        <v>-2545</v>
      </c>
      <c r="O214" s="12" t="n">
        <f aca="false">IF(F214="Promotional Incentive",0,K214)</f>
        <v>-254.5</v>
      </c>
      <c r="P214" s="11" t="s">
        <v>645</v>
      </c>
      <c r="Q214" s="2"/>
    </row>
    <row r="215" customFormat="false" ht="15" hidden="false" customHeight="false" outlineLevel="0" collapsed="false">
      <c r="A215" s="2" t="s">
        <v>1017</v>
      </c>
      <c r="B215" s="2" t="s">
        <v>27</v>
      </c>
      <c r="C215" s="2" t="s">
        <v>30</v>
      </c>
      <c r="D215" s="2" t="s">
        <v>1018</v>
      </c>
      <c r="E215" s="2" t="s">
        <v>1019</v>
      </c>
      <c r="F215" s="2" t="s">
        <v>983</v>
      </c>
      <c r="G215" s="2" t="s">
        <v>604</v>
      </c>
      <c r="H215" s="32" t="n">
        <v>141</v>
      </c>
      <c r="I215" s="32" t="n">
        <v>141</v>
      </c>
      <c r="J215" s="33" t="n">
        <v>0.1</v>
      </c>
      <c r="K215" s="32" t="n">
        <v>14.1</v>
      </c>
      <c r="L215" s="12" t="n">
        <f aca="false">ROUND(I215*J215,2)</f>
        <v>14.1</v>
      </c>
      <c r="M215" s="12" t="n">
        <f aca="false">K215-L215</f>
        <v>0</v>
      </c>
      <c r="N215" s="12" t="n">
        <f aca="false">IF(F215="Promotional Incentive",0,I215)</f>
        <v>141</v>
      </c>
      <c r="O215" s="12" t="n">
        <f aca="false">IF(F215="Promotional Incentive",0,K215)</f>
        <v>14.1</v>
      </c>
      <c r="P215" s="11" t="s">
        <v>645</v>
      </c>
      <c r="Q215" s="2"/>
    </row>
    <row r="216" customFormat="false" ht="15" hidden="false" customHeight="false" outlineLevel="0" collapsed="false">
      <c r="A216" s="2" t="s">
        <v>1020</v>
      </c>
      <c r="B216" s="2" t="s">
        <v>27</v>
      </c>
      <c r="C216" s="2" t="s">
        <v>30</v>
      </c>
      <c r="D216" s="2" t="s">
        <v>1021</v>
      </c>
      <c r="E216" s="2" t="s">
        <v>1022</v>
      </c>
      <c r="F216" s="2" t="s">
        <v>983</v>
      </c>
      <c r="G216" s="2" t="s">
        <v>523</v>
      </c>
      <c r="H216" s="32" t="n">
        <v>84</v>
      </c>
      <c r="I216" s="32" t="n">
        <v>84</v>
      </c>
      <c r="J216" s="33" t="n">
        <v>0.1</v>
      </c>
      <c r="K216" s="32" t="n">
        <v>8.4</v>
      </c>
      <c r="L216" s="12" t="n">
        <f aca="false">ROUND(I216*J216,2)</f>
        <v>8.4</v>
      </c>
      <c r="M216" s="12" t="n">
        <f aca="false">K216-L216</f>
        <v>0</v>
      </c>
      <c r="N216" s="12" t="n">
        <f aca="false">IF(F216="Promotional Incentive",0,I216)</f>
        <v>84</v>
      </c>
      <c r="O216" s="12" t="n">
        <f aca="false">IF(F216="Promotional Incentive",0,K216)</f>
        <v>8.4</v>
      </c>
      <c r="P216" s="11" t="s">
        <v>645</v>
      </c>
      <c r="Q216" s="2"/>
    </row>
    <row r="217" customFormat="false" ht="15" hidden="false" customHeight="false" outlineLevel="0" collapsed="false">
      <c r="A217" s="27" t="s">
        <v>218</v>
      </c>
      <c r="B217" s="27" t="s">
        <v>37</v>
      </c>
      <c r="C217" s="27" t="s">
        <v>40</v>
      </c>
      <c r="D217" s="27" t="s">
        <v>216</v>
      </c>
      <c r="E217" s="27" t="s">
        <v>215</v>
      </c>
      <c r="F217" s="27" t="s">
        <v>1023</v>
      </c>
      <c r="G217" s="27" t="s">
        <v>513</v>
      </c>
      <c r="H217" s="28" t="n">
        <v>221.6</v>
      </c>
      <c r="I217" s="28" t="n">
        <v>221.6</v>
      </c>
      <c r="J217" s="29" t="n">
        <v>0.1</v>
      </c>
      <c r="K217" s="28" t="n">
        <v>22.16</v>
      </c>
      <c r="L217" s="30" t="n">
        <f aca="false">ROUND(I217*J217,2)</f>
        <v>22.16</v>
      </c>
      <c r="M217" s="30" t="n">
        <f aca="false">K217-L217</f>
        <v>0</v>
      </c>
      <c r="N217" s="30" t="n">
        <f aca="false">IF(F217="Promotional Incentive",0,I217)</f>
        <v>221.6</v>
      </c>
      <c r="O217" s="30" t="n">
        <f aca="false">IF(F217="Promotional Incentive",0,K217)</f>
        <v>22.16</v>
      </c>
      <c r="P217" s="31" t="s">
        <v>596</v>
      </c>
      <c r="Q217" s="27" t="s">
        <v>215</v>
      </c>
    </row>
    <row r="218" customFormat="false" ht="15" hidden="false" customHeight="false" outlineLevel="0" collapsed="false">
      <c r="A218" s="27" t="s">
        <v>218</v>
      </c>
      <c r="B218" s="27" t="s">
        <v>37</v>
      </c>
      <c r="C218" s="27" t="s">
        <v>40</v>
      </c>
      <c r="D218" s="27" t="s">
        <v>216</v>
      </c>
      <c r="E218" s="27" t="s">
        <v>215</v>
      </c>
      <c r="F218" s="19" t="s">
        <v>511</v>
      </c>
      <c r="G218" s="27" t="s">
        <v>513</v>
      </c>
      <c r="H218" s="28" t="n">
        <v>221.6</v>
      </c>
      <c r="I218" s="28" t="n">
        <v>221.6</v>
      </c>
      <c r="J218" s="29" t="n">
        <v>0.03</v>
      </c>
      <c r="K218" s="28" t="n">
        <v>6.64</v>
      </c>
      <c r="L218" s="30" t="n">
        <f aca="false">ROUND(I218*J218,2)</f>
        <v>6.65</v>
      </c>
      <c r="M218" s="30" t="n">
        <f aca="false">K218-L218</f>
        <v>-0.0100000000000007</v>
      </c>
      <c r="N218" s="30" t="n">
        <f aca="false">IF(F218="Promotional Incentive",0,I218)</f>
        <v>0</v>
      </c>
      <c r="O218" s="21" t="n">
        <f aca="false">IF(F218="Promotional Incentive",0,K218)</f>
        <v>0</v>
      </c>
      <c r="P218" s="31" t="s">
        <v>596</v>
      </c>
      <c r="Q218" s="27" t="s">
        <v>215</v>
      </c>
    </row>
    <row r="219" customFormat="false" ht="15" hidden="false" customHeight="false" outlineLevel="0" collapsed="false">
      <c r="A219" s="27" t="s">
        <v>226</v>
      </c>
      <c r="B219" s="27" t="s">
        <v>37</v>
      </c>
      <c r="C219" s="27" t="s">
        <v>40</v>
      </c>
      <c r="D219" s="27" t="s">
        <v>1024</v>
      </c>
      <c r="E219" s="27" t="s">
        <v>1025</v>
      </c>
      <c r="F219" s="27" t="s">
        <v>1023</v>
      </c>
      <c r="G219" s="27" t="s">
        <v>513</v>
      </c>
      <c r="H219" s="28" t="n">
        <v>147.7</v>
      </c>
      <c r="I219" s="28" t="n">
        <v>147.7</v>
      </c>
      <c r="J219" s="29" t="n">
        <v>0.1</v>
      </c>
      <c r="K219" s="28" t="n">
        <v>14.77</v>
      </c>
      <c r="L219" s="30" t="n">
        <f aca="false">ROUND(I219*J219,2)</f>
        <v>14.77</v>
      </c>
      <c r="M219" s="30" t="n">
        <f aca="false">K219-L219</f>
        <v>0</v>
      </c>
      <c r="N219" s="30" t="n">
        <f aca="false">IF(F219="Promotional Incentive",0,I219)</f>
        <v>147.7</v>
      </c>
      <c r="O219" s="30" t="n">
        <f aca="false">IF(F219="Promotional Incentive",0,K219)</f>
        <v>14.77</v>
      </c>
      <c r="P219" s="31" t="s">
        <v>596</v>
      </c>
      <c r="Q219" s="27" t="s">
        <v>223</v>
      </c>
    </row>
    <row r="220" customFormat="false" ht="15" hidden="false" customHeight="false" outlineLevel="0" collapsed="false">
      <c r="A220" s="27" t="s">
        <v>226</v>
      </c>
      <c r="B220" s="27" t="s">
        <v>37</v>
      </c>
      <c r="C220" s="27" t="s">
        <v>40</v>
      </c>
      <c r="D220" s="27" t="s">
        <v>1024</v>
      </c>
      <c r="E220" s="27" t="s">
        <v>1025</v>
      </c>
      <c r="F220" s="19" t="s">
        <v>511</v>
      </c>
      <c r="G220" s="27" t="s">
        <v>513</v>
      </c>
      <c r="H220" s="28" t="n">
        <v>147.7</v>
      </c>
      <c r="I220" s="28" t="n">
        <v>147.7</v>
      </c>
      <c r="J220" s="29" t="n">
        <v>0.03</v>
      </c>
      <c r="K220" s="28" t="n">
        <v>4.43</v>
      </c>
      <c r="L220" s="30" t="n">
        <f aca="false">ROUND(I220*J220,2)</f>
        <v>4.43</v>
      </c>
      <c r="M220" s="30" t="n">
        <f aca="false">K220-L220</f>
        <v>0</v>
      </c>
      <c r="N220" s="30" t="n">
        <f aca="false">IF(F220="Promotional Incentive",0,I220)</f>
        <v>0</v>
      </c>
      <c r="O220" s="21" t="n">
        <f aca="false">IF(F220="Promotional Incentive",0,K220)</f>
        <v>0</v>
      </c>
      <c r="P220" s="31" t="s">
        <v>596</v>
      </c>
      <c r="Q220" s="27" t="s">
        <v>223</v>
      </c>
    </row>
    <row r="221" customFormat="false" ht="15" hidden="false" customHeight="false" outlineLevel="0" collapsed="false">
      <c r="A221" s="27" t="s">
        <v>231</v>
      </c>
      <c r="B221" s="27" t="s">
        <v>37</v>
      </c>
      <c r="C221" s="27" t="s">
        <v>40</v>
      </c>
      <c r="D221" s="27" t="s">
        <v>1026</v>
      </c>
      <c r="E221" s="27" t="s">
        <v>227</v>
      </c>
      <c r="F221" s="27" t="s">
        <v>1023</v>
      </c>
      <c r="G221" s="27" t="s">
        <v>513</v>
      </c>
      <c r="H221" s="28" t="n">
        <v>236.7</v>
      </c>
      <c r="I221" s="28" t="n">
        <v>236.7</v>
      </c>
      <c r="J221" s="29" t="n">
        <v>0.1</v>
      </c>
      <c r="K221" s="28" t="n">
        <v>23.67</v>
      </c>
      <c r="L221" s="30" t="n">
        <f aca="false">ROUND(I221*J221,2)</f>
        <v>23.67</v>
      </c>
      <c r="M221" s="30" t="n">
        <f aca="false">K221-L221</f>
        <v>0</v>
      </c>
      <c r="N221" s="30" t="n">
        <f aca="false">IF(F221="Promotional Incentive",0,I221)</f>
        <v>236.7</v>
      </c>
      <c r="O221" s="30" t="n">
        <f aca="false">IF(F221="Promotional Incentive",0,K221)</f>
        <v>23.67</v>
      </c>
      <c r="P221" s="31" t="s">
        <v>596</v>
      </c>
      <c r="Q221" s="27" t="s">
        <v>227</v>
      </c>
    </row>
    <row r="222" customFormat="false" ht="15" hidden="false" customHeight="false" outlineLevel="0" collapsed="false">
      <c r="A222" s="27" t="s">
        <v>234</v>
      </c>
      <c r="B222" s="27" t="s">
        <v>37</v>
      </c>
      <c r="C222" s="27" t="s">
        <v>40</v>
      </c>
      <c r="D222" s="27" t="s">
        <v>1027</v>
      </c>
      <c r="E222" s="27" t="s">
        <v>1028</v>
      </c>
      <c r="F222" s="27" t="s">
        <v>1023</v>
      </c>
      <c r="G222" s="27" t="s">
        <v>513</v>
      </c>
      <c r="H222" s="28" t="n">
        <v>359.7</v>
      </c>
      <c r="I222" s="28" t="n">
        <v>359.7</v>
      </c>
      <c r="J222" s="29" t="n">
        <v>0.1</v>
      </c>
      <c r="K222" s="28" t="n">
        <v>35.97</v>
      </c>
      <c r="L222" s="30" t="n">
        <f aca="false">ROUND(I222*J222,2)</f>
        <v>35.97</v>
      </c>
      <c r="M222" s="30" t="n">
        <f aca="false">K222-L222</f>
        <v>0</v>
      </c>
      <c r="N222" s="30" t="n">
        <f aca="false">IF(F222="Promotional Incentive",0,I222)</f>
        <v>359.7</v>
      </c>
      <c r="O222" s="30" t="n">
        <f aca="false">IF(F222="Promotional Incentive",0,K222)</f>
        <v>35.97</v>
      </c>
      <c r="P222" s="31" t="s">
        <v>596</v>
      </c>
      <c r="Q222" s="27" t="s">
        <v>232</v>
      </c>
    </row>
    <row r="223" customFormat="false" ht="15" hidden="false" customHeight="false" outlineLevel="0" collapsed="false">
      <c r="A223" s="27" t="s">
        <v>42</v>
      </c>
      <c r="B223" s="27" t="s">
        <v>37</v>
      </c>
      <c r="C223" s="27" t="s">
        <v>40</v>
      </c>
      <c r="D223" s="27" t="s">
        <v>1029</v>
      </c>
      <c r="E223" s="27" t="s">
        <v>1030</v>
      </c>
      <c r="F223" s="27" t="s">
        <v>1023</v>
      </c>
      <c r="G223" s="27" t="s">
        <v>513</v>
      </c>
      <c r="H223" s="28" t="n">
        <v>163.6</v>
      </c>
      <c r="I223" s="28" t="n">
        <v>163.6</v>
      </c>
      <c r="J223" s="29" t="n">
        <v>0.1</v>
      </c>
      <c r="K223" s="28" t="n">
        <v>16.36</v>
      </c>
      <c r="L223" s="30" t="n">
        <f aca="false">ROUND(I223*J223,2)</f>
        <v>16.36</v>
      </c>
      <c r="M223" s="30" t="n">
        <f aca="false">K223-L223</f>
        <v>0</v>
      </c>
      <c r="N223" s="30" t="n">
        <f aca="false">IF(F223="Promotional Incentive",0,I223)</f>
        <v>163.6</v>
      </c>
      <c r="O223" s="30" t="n">
        <f aca="false">IF(F223="Promotional Incentive",0,K223)</f>
        <v>16.36</v>
      </c>
      <c r="P223" s="31" t="s">
        <v>596</v>
      </c>
      <c r="Q223" s="27" t="s">
        <v>36</v>
      </c>
    </row>
    <row r="224" customFormat="false" ht="15" hidden="false" customHeight="false" outlineLevel="0" collapsed="false">
      <c r="A224" s="27" t="s">
        <v>42</v>
      </c>
      <c r="B224" s="27" t="s">
        <v>37</v>
      </c>
      <c r="C224" s="27" t="s">
        <v>40</v>
      </c>
      <c r="D224" s="27" t="s">
        <v>1029</v>
      </c>
      <c r="E224" s="27" t="s">
        <v>1030</v>
      </c>
      <c r="F224" s="19" t="s">
        <v>511</v>
      </c>
      <c r="G224" s="27" t="s">
        <v>513</v>
      </c>
      <c r="H224" s="28" t="n">
        <v>163.6</v>
      </c>
      <c r="I224" s="28" t="n">
        <v>163.6</v>
      </c>
      <c r="J224" s="29" t="n">
        <v>0.03</v>
      </c>
      <c r="K224" s="28" t="n">
        <v>4.9</v>
      </c>
      <c r="L224" s="30" t="n">
        <f aca="false">ROUND(I224*J224,2)</f>
        <v>4.91</v>
      </c>
      <c r="M224" s="30" t="n">
        <f aca="false">K224-L224</f>
        <v>-0.00999999999999979</v>
      </c>
      <c r="N224" s="30" t="n">
        <f aca="false">IF(F224="Promotional Incentive",0,I224)</f>
        <v>0</v>
      </c>
      <c r="O224" s="21" t="n">
        <f aca="false">IF(F224="Promotional Incentive",0,K224)</f>
        <v>0</v>
      </c>
      <c r="P224" s="31" t="s">
        <v>596</v>
      </c>
      <c r="Q224" s="27" t="s">
        <v>36</v>
      </c>
    </row>
    <row r="225" customFormat="false" ht="15" hidden="false" customHeight="false" outlineLevel="0" collapsed="false">
      <c r="A225" s="27" t="s">
        <v>65</v>
      </c>
      <c r="B225" s="27" t="s">
        <v>37</v>
      </c>
      <c r="C225" s="27" t="s">
        <v>40</v>
      </c>
      <c r="D225" s="27" t="s">
        <v>1031</v>
      </c>
      <c r="E225" s="27" t="s">
        <v>1032</v>
      </c>
      <c r="F225" s="27" t="s">
        <v>25</v>
      </c>
      <c r="G225" s="27" t="s">
        <v>1033</v>
      </c>
      <c r="H225" s="28" t="n">
        <v>2797</v>
      </c>
      <c r="I225" s="28" t="n">
        <v>2797</v>
      </c>
      <c r="J225" s="29" t="n">
        <v>0.1</v>
      </c>
      <c r="K225" s="28" t="n">
        <v>279.7</v>
      </c>
      <c r="L225" s="30" t="n">
        <f aca="false">ROUND(I225*J225,2)</f>
        <v>279.7</v>
      </c>
      <c r="M225" s="30" t="n">
        <f aca="false">K225-L225</f>
        <v>0</v>
      </c>
      <c r="N225" s="30" t="n">
        <f aca="false">IF(F225="Promotional Incentive",0,I225)</f>
        <v>2797</v>
      </c>
      <c r="O225" s="30" t="n">
        <f aca="false">IF(F225="Promotional Incentive",0,K225)</f>
        <v>279.7</v>
      </c>
      <c r="P225" s="31" t="s">
        <v>596</v>
      </c>
      <c r="Q225" s="27" t="s">
        <v>62</v>
      </c>
    </row>
    <row r="226" customFormat="false" ht="15" hidden="false" customHeight="false" outlineLevel="0" collapsed="false">
      <c r="A226" s="27" t="s">
        <v>65</v>
      </c>
      <c r="B226" s="27" t="s">
        <v>37</v>
      </c>
      <c r="C226" s="27" t="s">
        <v>40</v>
      </c>
      <c r="D226" s="27" t="s">
        <v>1031</v>
      </c>
      <c r="E226" s="27" t="s">
        <v>1032</v>
      </c>
      <c r="F226" s="19" t="s">
        <v>511</v>
      </c>
      <c r="G226" s="27" t="s">
        <v>1033</v>
      </c>
      <c r="H226" s="28" t="n">
        <v>2797</v>
      </c>
      <c r="I226" s="28" t="n">
        <v>2797</v>
      </c>
      <c r="J226" s="29" t="n">
        <v>0.03</v>
      </c>
      <c r="K226" s="28" t="n">
        <v>83.91</v>
      </c>
      <c r="L226" s="30" t="n">
        <f aca="false">ROUND(I226*J226,2)</f>
        <v>83.91</v>
      </c>
      <c r="M226" s="30" t="n">
        <f aca="false">K226-L226</f>
        <v>0</v>
      </c>
      <c r="N226" s="30" t="n">
        <f aca="false">IF(F226="Promotional Incentive",0,I226)</f>
        <v>0</v>
      </c>
      <c r="O226" s="21" t="n">
        <f aca="false">IF(F226="Promotional Incentive",0,K226)</f>
        <v>0</v>
      </c>
      <c r="P226" s="31" t="s">
        <v>596</v>
      </c>
      <c r="Q226" s="27" t="s">
        <v>62</v>
      </c>
    </row>
    <row r="227" customFormat="false" ht="15" hidden="false" customHeight="false" outlineLevel="0" collapsed="false">
      <c r="A227" s="27" t="s">
        <v>73</v>
      </c>
      <c r="B227" s="27" t="s">
        <v>37</v>
      </c>
      <c r="C227" s="27" t="s">
        <v>40</v>
      </c>
      <c r="D227" s="27" t="s">
        <v>1034</v>
      </c>
      <c r="E227" s="27" t="s">
        <v>1035</v>
      </c>
      <c r="F227" s="27" t="s">
        <v>25</v>
      </c>
      <c r="G227" s="27" t="s">
        <v>1036</v>
      </c>
      <c r="H227" s="28" t="n">
        <v>2233</v>
      </c>
      <c r="I227" s="28" t="n">
        <v>2233</v>
      </c>
      <c r="J227" s="29" t="n">
        <v>0.1</v>
      </c>
      <c r="K227" s="28" t="n">
        <v>223.3</v>
      </c>
      <c r="L227" s="30" t="n">
        <f aca="false">ROUND(I227*J227,2)</f>
        <v>223.3</v>
      </c>
      <c r="M227" s="30" t="n">
        <f aca="false">K227-L227</f>
        <v>0</v>
      </c>
      <c r="N227" s="30" t="n">
        <f aca="false">IF(F227="Promotional Incentive",0,I227)</f>
        <v>2233</v>
      </c>
      <c r="O227" s="30" t="n">
        <f aca="false">IF(F227="Promotional Incentive",0,K227)</f>
        <v>223.3</v>
      </c>
      <c r="P227" s="31" t="s">
        <v>596</v>
      </c>
      <c r="Q227" s="27" t="s">
        <v>69</v>
      </c>
    </row>
    <row r="228" customFormat="false" ht="15" hidden="false" customHeight="false" outlineLevel="0" collapsed="false">
      <c r="A228" s="27" t="s">
        <v>73</v>
      </c>
      <c r="B228" s="27" t="s">
        <v>37</v>
      </c>
      <c r="C228" s="27" t="s">
        <v>40</v>
      </c>
      <c r="D228" s="27" t="s">
        <v>1034</v>
      </c>
      <c r="E228" s="27" t="s">
        <v>1035</v>
      </c>
      <c r="F228" s="19" t="s">
        <v>511</v>
      </c>
      <c r="G228" s="27" t="s">
        <v>1036</v>
      </c>
      <c r="H228" s="28" t="n">
        <v>2233</v>
      </c>
      <c r="I228" s="28" t="n">
        <v>2233</v>
      </c>
      <c r="J228" s="29" t="n">
        <v>0.03</v>
      </c>
      <c r="K228" s="28" t="n">
        <v>66.99</v>
      </c>
      <c r="L228" s="30" t="n">
        <f aca="false">ROUND(I228*J228,2)</f>
        <v>66.99</v>
      </c>
      <c r="M228" s="30" t="n">
        <f aca="false">K228-L228</f>
        <v>0</v>
      </c>
      <c r="N228" s="30" t="n">
        <f aca="false">IF(F228="Promotional Incentive",0,I228)</f>
        <v>0</v>
      </c>
      <c r="O228" s="21" t="n">
        <f aca="false">IF(F228="Promotional Incentive",0,K228)</f>
        <v>0</v>
      </c>
      <c r="P228" s="31" t="s">
        <v>596</v>
      </c>
      <c r="Q228" s="27" t="s">
        <v>69</v>
      </c>
    </row>
    <row r="229" customFormat="false" ht="15" hidden="false" customHeight="false" outlineLevel="0" collapsed="false">
      <c r="A229" s="27" t="s">
        <v>73</v>
      </c>
      <c r="B229" s="27" t="s">
        <v>37</v>
      </c>
      <c r="C229" s="27" t="s">
        <v>40</v>
      </c>
      <c r="D229" s="27" t="s">
        <v>1034</v>
      </c>
      <c r="E229" s="27" t="s">
        <v>1035</v>
      </c>
      <c r="F229" s="27" t="s">
        <v>644</v>
      </c>
      <c r="G229" s="27" t="s">
        <v>513</v>
      </c>
      <c r="H229" s="28" t="n">
        <v>252</v>
      </c>
      <c r="I229" s="28" t="n">
        <v>252</v>
      </c>
      <c r="J229" s="29" t="n">
        <v>0.1</v>
      </c>
      <c r="K229" s="28" t="n">
        <v>25.2</v>
      </c>
      <c r="L229" s="30" t="n">
        <f aca="false">ROUND(I229*J229,2)</f>
        <v>25.2</v>
      </c>
      <c r="M229" s="30" t="n">
        <f aca="false">K229-L229</f>
        <v>0</v>
      </c>
      <c r="N229" s="30" t="n">
        <f aca="false">IF(F229="Promotional Incentive",0,I229)</f>
        <v>252</v>
      </c>
      <c r="O229" s="30" t="n">
        <f aca="false">IF(F229="Promotional Incentive",0,K229)</f>
        <v>25.2</v>
      </c>
      <c r="P229" s="31" t="s">
        <v>596</v>
      </c>
      <c r="Q229" s="27" t="s">
        <v>69</v>
      </c>
    </row>
    <row r="230" customFormat="false" ht="15" hidden="false" customHeight="false" outlineLevel="0" collapsed="false">
      <c r="A230" s="27" t="s">
        <v>73</v>
      </c>
      <c r="B230" s="27" t="s">
        <v>37</v>
      </c>
      <c r="C230" s="27" t="s">
        <v>40</v>
      </c>
      <c r="D230" s="27" t="s">
        <v>1034</v>
      </c>
      <c r="E230" s="27" t="s">
        <v>1035</v>
      </c>
      <c r="F230" s="19" t="s">
        <v>511</v>
      </c>
      <c r="G230" s="27" t="s">
        <v>513</v>
      </c>
      <c r="H230" s="28" t="n">
        <v>252</v>
      </c>
      <c r="I230" s="28" t="n">
        <v>252</v>
      </c>
      <c r="J230" s="29" t="n">
        <v>0.03</v>
      </c>
      <c r="K230" s="28" t="n">
        <v>7.56</v>
      </c>
      <c r="L230" s="30" t="n">
        <f aca="false">ROUND(I230*J230,2)</f>
        <v>7.56</v>
      </c>
      <c r="M230" s="30" t="n">
        <f aca="false">K230-L230</f>
        <v>0</v>
      </c>
      <c r="N230" s="30" t="n">
        <f aca="false">IF(F230="Promotional Incentive",0,I230)</f>
        <v>0</v>
      </c>
      <c r="O230" s="21" t="n">
        <f aca="false">IF(F230="Promotional Incentive",0,K230)</f>
        <v>0</v>
      </c>
      <c r="P230" s="31" t="s">
        <v>596</v>
      </c>
      <c r="Q230" s="27" t="s">
        <v>69</v>
      </c>
    </row>
    <row r="231" customFormat="false" ht="15" hidden="false" customHeight="false" outlineLevel="0" collapsed="false">
      <c r="A231" s="27" t="s">
        <v>78</v>
      </c>
      <c r="B231" s="27" t="s">
        <v>37</v>
      </c>
      <c r="C231" s="27" t="s">
        <v>40</v>
      </c>
      <c r="D231" s="27" t="s">
        <v>1037</v>
      </c>
      <c r="E231" s="27" t="s">
        <v>74</v>
      </c>
      <c r="F231" s="27" t="s">
        <v>25</v>
      </c>
      <c r="G231" s="27" t="s">
        <v>1038</v>
      </c>
      <c r="H231" s="28" t="n">
        <v>1079</v>
      </c>
      <c r="I231" s="28" t="n">
        <v>1079</v>
      </c>
      <c r="J231" s="29" t="n">
        <v>0.1</v>
      </c>
      <c r="K231" s="28" t="n">
        <v>107.9</v>
      </c>
      <c r="L231" s="30" t="n">
        <f aca="false">ROUND(I231*J231,2)</f>
        <v>107.9</v>
      </c>
      <c r="M231" s="30" t="n">
        <f aca="false">K231-L231</f>
        <v>0</v>
      </c>
      <c r="N231" s="30" t="n">
        <f aca="false">IF(F231="Promotional Incentive",0,I231)</f>
        <v>1079</v>
      </c>
      <c r="O231" s="30" t="n">
        <f aca="false">IF(F231="Promotional Incentive",0,K231)</f>
        <v>107.9</v>
      </c>
      <c r="P231" s="31" t="s">
        <v>596</v>
      </c>
      <c r="Q231" s="27" t="s">
        <v>74</v>
      </c>
    </row>
    <row r="232" customFormat="false" ht="15" hidden="false" customHeight="false" outlineLevel="0" collapsed="false">
      <c r="A232" s="27" t="s">
        <v>78</v>
      </c>
      <c r="B232" s="27" t="s">
        <v>37</v>
      </c>
      <c r="C232" s="27" t="s">
        <v>40</v>
      </c>
      <c r="D232" s="27" t="s">
        <v>1037</v>
      </c>
      <c r="E232" s="27" t="s">
        <v>74</v>
      </c>
      <c r="F232" s="19" t="s">
        <v>511</v>
      </c>
      <c r="G232" s="27" t="s">
        <v>1038</v>
      </c>
      <c r="H232" s="28" t="n">
        <v>1079</v>
      </c>
      <c r="I232" s="28" t="n">
        <v>1079</v>
      </c>
      <c r="J232" s="29" t="n">
        <v>0.03</v>
      </c>
      <c r="K232" s="28" t="n">
        <v>32.37</v>
      </c>
      <c r="L232" s="30" t="n">
        <f aca="false">ROUND(I232*J232,2)</f>
        <v>32.37</v>
      </c>
      <c r="M232" s="30" t="n">
        <f aca="false">K232-L232</f>
        <v>0</v>
      </c>
      <c r="N232" s="30" t="n">
        <f aca="false">IF(F232="Promotional Incentive",0,I232)</f>
        <v>0</v>
      </c>
      <c r="O232" s="21" t="n">
        <f aca="false">IF(F232="Promotional Incentive",0,K232)</f>
        <v>0</v>
      </c>
      <c r="P232" s="31" t="s">
        <v>596</v>
      </c>
      <c r="Q232" s="27" t="s">
        <v>74</v>
      </c>
    </row>
    <row r="233" customFormat="false" ht="15" hidden="false" customHeight="false" outlineLevel="0" collapsed="false">
      <c r="A233" s="27" t="s">
        <v>102</v>
      </c>
      <c r="B233" s="27" t="s">
        <v>37</v>
      </c>
      <c r="C233" s="27" t="s">
        <v>40</v>
      </c>
      <c r="D233" s="27" t="s">
        <v>1039</v>
      </c>
      <c r="E233" s="27" t="s">
        <v>1040</v>
      </c>
      <c r="F233" s="27" t="s">
        <v>25</v>
      </c>
      <c r="G233" s="27" t="s">
        <v>1041</v>
      </c>
      <c r="H233" s="28" t="n">
        <v>1373</v>
      </c>
      <c r="I233" s="28" t="n">
        <v>1373</v>
      </c>
      <c r="J233" s="29" t="n">
        <v>0.1</v>
      </c>
      <c r="K233" s="28" t="n">
        <v>137.3</v>
      </c>
      <c r="L233" s="30" t="n">
        <f aca="false">ROUND(I233*J233,2)</f>
        <v>137.3</v>
      </c>
      <c r="M233" s="30" t="n">
        <f aca="false">K233-L233</f>
        <v>0</v>
      </c>
      <c r="N233" s="30" t="n">
        <f aca="false">IF(F233="Promotional Incentive",0,I233)</f>
        <v>1373</v>
      </c>
      <c r="O233" s="30" t="n">
        <f aca="false">IF(F233="Promotional Incentive",0,K233)</f>
        <v>137.3</v>
      </c>
      <c r="P233" s="31" t="s">
        <v>596</v>
      </c>
      <c r="Q233" s="27" t="s">
        <v>98</v>
      </c>
    </row>
    <row r="234" customFormat="false" ht="15" hidden="false" customHeight="false" outlineLevel="0" collapsed="false">
      <c r="A234" s="27" t="s">
        <v>102</v>
      </c>
      <c r="B234" s="27" t="s">
        <v>37</v>
      </c>
      <c r="C234" s="27" t="s">
        <v>40</v>
      </c>
      <c r="D234" s="27" t="s">
        <v>1039</v>
      </c>
      <c r="E234" s="27" t="s">
        <v>1040</v>
      </c>
      <c r="F234" s="19" t="s">
        <v>511</v>
      </c>
      <c r="G234" s="27" t="s">
        <v>1041</v>
      </c>
      <c r="H234" s="28" t="n">
        <v>1373</v>
      </c>
      <c r="I234" s="28" t="n">
        <v>1373</v>
      </c>
      <c r="J234" s="29" t="n">
        <v>0.03</v>
      </c>
      <c r="K234" s="28" t="n">
        <v>41.19</v>
      </c>
      <c r="L234" s="30" t="n">
        <f aca="false">ROUND(I234*J234,2)</f>
        <v>41.19</v>
      </c>
      <c r="M234" s="30" t="n">
        <f aca="false">K234-L234</f>
        <v>0</v>
      </c>
      <c r="N234" s="30" t="n">
        <f aca="false">IF(F234="Promotional Incentive",0,I234)</f>
        <v>0</v>
      </c>
      <c r="O234" s="21" t="n">
        <f aca="false">IF(F234="Promotional Incentive",0,K234)</f>
        <v>0</v>
      </c>
      <c r="P234" s="31" t="s">
        <v>596</v>
      </c>
      <c r="Q234" s="27" t="s">
        <v>98</v>
      </c>
    </row>
    <row r="235" customFormat="false" ht="15" hidden="false" customHeight="false" outlineLevel="0" collapsed="false">
      <c r="A235" s="27" t="s">
        <v>222</v>
      </c>
      <c r="B235" s="27" t="s">
        <v>37</v>
      </c>
      <c r="C235" s="27" t="s">
        <v>40</v>
      </c>
      <c r="D235" s="27" t="s">
        <v>1042</v>
      </c>
      <c r="E235" s="27" t="s">
        <v>1043</v>
      </c>
      <c r="F235" s="27" t="s">
        <v>1023</v>
      </c>
      <c r="G235" s="27" t="s">
        <v>513</v>
      </c>
      <c r="H235" s="28" t="n">
        <v>162</v>
      </c>
      <c r="I235" s="28" t="n">
        <v>162</v>
      </c>
      <c r="J235" s="29" t="n">
        <v>0.1</v>
      </c>
      <c r="K235" s="28" t="n">
        <v>16.2</v>
      </c>
      <c r="L235" s="30" t="n">
        <f aca="false">ROUND(I235*J235,2)</f>
        <v>16.2</v>
      </c>
      <c r="M235" s="30" t="n">
        <f aca="false">K235-L235</f>
        <v>0</v>
      </c>
      <c r="N235" s="30" t="n">
        <f aca="false">IF(F235="Promotional Incentive",0,I235)</f>
        <v>162</v>
      </c>
      <c r="O235" s="30" t="n">
        <f aca="false">IF(F235="Promotional Incentive",0,K235)</f>
        <v>16.2</v>
      </c>
      <c r="P235" s="31" t="s">
        <v>596</v>
      </c>
      <c r="Q235" s="27" t="s">
        <v>219</v>
      </c>
    </row>
    <row r="236" customFormat="false" ht="15" hidden="false" customHeight="false" outlineLevel="0" collapsed="false">
      <c r="A236" s="27" t="s">
        <v>222</v>
      </c>
      <c r="B236" s="27" t="s">
        <v>37</v>
      </c>
      <c r="C236" s="27" t="s">
        <v>40</v>
      </c>
      <c r="D236" s="27" t="s">
        <v>1042</v>
      </c>
      <c r="E236" s="27" t="s">
        <v>1043</v>
      </c>
      <c r="F236" s="19" t="s">
        <v>511</v>
      </c>
      <c r="G236" s="27" t="s">
        <v>513</v>
      </c>
      <c r="H236" s="28" t="n">
        <v>162</v>
      </c>
      <c r="I236" s="28" t="n">
        <v>162</v>
      </c>
      <c r="J236" s="29" t="n">
        <v>0.03</v>
      </c>
      <c r="K236" s="28" t="n">
        <v>4.86</v>
      </c>
      <c r="L236" s="30" t="n">
        <f aca="false">ROUND(I236*J236,2)</f>
        <v>4.86</v>
      </c>
      <c r="M236" s="30" t="n">
        <f aca="false">K236-L236</f>
        <v>0</v>
      </c>
      <c r="N236" s="30" t="n">
        <f aca="false">IF(F236="Promotional Incentive",0,I236)</f>
        <v>0</v>
      </c>
      <c r="O236" s="21" t="n">
        <f aca="false">IF(F236="Promotional Incentive",0,K236)</f>
        <v>0</v>
      </c>
      <c r="P236" s="31" t="s">
        <v>596</v>
      </c>
      <c r="Q236" s="27" t="s">
        <v>219</v>
      </c>
    </row>
    <row r="237" customFormat="false" ht="15" hidden="false" customHeight="false" outlineLevel="0" collapsed="false">
      <c r="A237" s="2" t="s">
        <v>1044</v>
      </c>
      <c r="B237" s="2" t="s">
        <v>37</v>
      </c>
      <c r="C237" s="2" t="s">
        <v>40</v>
      </c>
      <c r="D237" s="2" t="s">
        <v>377</v>
      </c>
      <c r="E237" s="2" t="s">
        <v>1045</v>
      </c>
      <c r="F237" s="2" t="s">
        <v>1023</v>
      </c>
      <c r="G237" s="2" t="s">
        <v>513</v>
      </c>
      <c r="H237" s="32" t="n">
        <v>269.1</v>
      </c>
      <c r="I237" s="32" t="n">
        <v>269.1</v>
      </c>
      <c r="J237" s="33" t="n">
        <v>0.1</v>
      </c>
      <c r="K237" s="32" t="n">
        <v>26.91</v>
      </c>
      <c r="L237" s="12" t="n">
        <f aca="false">ROUND(I237*J237,2)</f>
        <v>26.91</v>
      </c>
      <c r="M237" s="12" t="n">
        <f aca="false">K237-L237</f>
        <v>0</v>
      </c>
      <c r="N237" s="12" t="n">
        <f aca="false">IF(F237="Promotional Incentive",0,I237)</f>
        <v>269.1</v>
      </c>
      <c r="O237" s="12" t="n">
        <f aca="false">IF(F237="Promotional Incentive",0,K237)</f>
        <v>26.91</v>
      </c>
      <c r="P237" s="11" t="s">
        <v>645</v>
      </c>
      <c r="Q237" s="2"/>
    </row>
    <row r="238" customFormat="false" ht="15" hidden="false" customHeight="false" outlineLevel="0" collapsed="false">
      <c r="A238" s="2" t="s">
        <v>1046</v>
      </c>
      <c r="B238" s="2" t="s">
        <v>37</v>
      </c>
      <c r="C238" s="2" t="s">
        <v>40</v>
      </c>
      <c r="D238" s="2" t="s">
        <v>1047</v>
      </c>
      <c r="E238" s="2" t="s">
        <v>1048</v>
      </c>
      <c r="F238" s="2" t="s">
        <v>1023</v>
      </c>
      <c r="G238" s="2" t="s">
        <v>513</v>
      </c>
      <c r="H238" s="32" t="n">
        <v>137.6</v>
      </c>
      <c r="I238" s="32" t="n">
        <v>137.6</v>
      </c>
      <c r="J238" s="33" t="n">
        <v>0.1</v>
      </c>
      <c r="K238" s="32" t="n">
        <v>13.76</v>
      </c>
      <c r="L238" s="12" t="n">
        <f aca="false">ROUND(I238*J238,2)</f>
        <v>13.76</v>
      </c>
      <c r="M238" s="12" t="n">
        <f aca="false">K238-L238</f>
        <v>0</v>
      </c>
      <c r="N238" s="12" t="n">
        <f aca="false">IF(F238="Promotional Incentive",0,I238)</f>
        <v>137.6</v>
      </c>
      <c r="O238" s="12" t="n">
        <f aca="false">IF(F238="Promotional Incentive",0,K238)</f>
        <v>13.76</v>
      </c>
      <c r="P238" s="11" t="s">
        <v>645</v>
      </c>
      <c r="Q238" s="2"/>
    </row>
    <row r="239" customFormat="false" ht="15" hidden="false" customHeight="false" outlineLevel="0" collapsed="false">
      <c r="A239" s="2" t="s">
        <v>1049</v>
      </c>
      <c r="B239" s="2" t="s">
        <v>37</v>
      </c>
      <c r="C239" s="2" t="s">
        <v>40</v>
      </c>
      <c r="D239" s="2" t="s">
        <v>380</v>
      </c>
      <c r="E239" s="2" t="s">
        <v>379</v>
      </c>
      <c r="F239" s="2" t="s">
        <v>1023</v>
      </c>
      <c r="G239" s="2" t="s">
        <v>513</v>
      </c>
      <c r="H239" s="32" t="n">
        <v>178.9</v>
      </c>
      <c r="I239" s="32" t="n">
        <v>178.9</v>
      </c>
      <c r="J239" s="33" t="n">
        <v>0.1</v>
      </c>
      <c r="K239" s="32" t="n">
        <v>17.89</v>
      </c>
      <c r="L239" s="12" t="n">
        <f aca="false">ROUND(I239*J239,2)</f>
        <v>17.89</v>
      </c>
      <c r="M239" s="12" t="n">
        <f aca="false">K239-L239</f>
        <v>0</v>
      </c>
      <c r="N239" s="12" t="n">
        <f aca="false">IF(F239="Promotional Incentive",0,I239)</f>
        <v>178.9</v>
      </c>
      <c r="O239" s="12" t="n">
        <f aca="false">IF(F239="Promotional Incentive",0,K239)</f>
        <v>17.89</v>
      </c>
      <c r="P239" s="11" t="s">
        <v>645</v>
      </c>
      <c r="Q239" s="2"/>
    </row>
    <row r="240" customFormat="false" ht="15" hidden="false" customHeight="false" outlineLevel="0" collapsed="false">
      <c r="A240" s="2" t="s">
        <v>1050</v>
      </c>
      <c r="B240" s="2" t="s">
        <v>37</v>
      </c>
      <c r="C240" s="2" t="s">
        <v>40</v>
      </c>
      <c r="D240" s="2" t="s">
        <v>383</v>
      </c>
      <c r="E240" s="2" t="s">
        <v>1051</v>
      </c>
      <c r="F240" s="2" t="s">
        <v>1023</v>
      </c>
      <c r="G240" s="2" t="s">
        <v>513</v>
      </c>
      <c r="H240" s="32" t="n">
        <v>212.9</v>
      </c>
      <c r="I240" s="32" t="n">
        <v>212.9</v>
      </c>
      <c r="J240" s="33" t="n">
        <v>0.1</v>
      </c>
      <c r="K240" s="32" t="n">
        <v>21.29</v>
      </c>
      <c r="L240" s="12" t="n">
        <f aca="false">ROUND(I240*J240,2)</f>
        <v>21.29</v>
      </c>
      <c r="M240" s="12" t="n">
        <f aca="false">K240-L240</f>
        <v>0</v>
      </c>
      <c r="N240" s="12" t="n">
        <f aca="false">IF(F240="Promotional Incentive",0,I240)</f>
        <v>212.9</v>
      </c>
      <c r="O240" s="12" t="n">
        <f aca="false">IF(F240="Promotional Incentive",0,K240)</f>
        <v>21.29</v>
      </c>
      <c r="P240" s="11" t="s">
        <v>645</v>
      </c>
      <c r="Q240" s="2"/>
    </row>
    <row r="241" customFormat="false" ht="15" hidden="false" customHeight="false" outlineLevel="0" collapsed="false">
      <c r="A241" s="2" t="s">
        <v>1052</v>
      </c>
      <c r="B241" s="2" t="s">
        <v>37</v>
      </c>
      <c r="C241" s="2" t="s">
        <v>40</v>
      </c>
      <c r="D241" s="2" t="s">
        <v>386</v>
      </c>
      <c r="E241" s="2" t="s">
        <v>1053</v>
      </c>
      <c r="F241" s="2" t="s">
        <v>1023</v>
      </c>
      <c r="G241" s="2" t="s">
        <v>513</v>
      </c>
      <c r="H241" s="32" t="n">
        <v>202.2</v>
      </c>
      <c r="I241" s="32" t="n">
        <v>202.2</v>
      </c>
      <c r="J241" s="33" t="n">
        <v>0.1</v>
      </c>
      <c r="K241" s="32" t="n">
        <v>20.22</v>
      </c>
      <c r="L241" s="12" t="n">
        <f aca="false">ROUND(I241*J241,2)</f>
        <v>20.22</v>
      </c>
      <c r="M241" s="12" t="n">
        <f aca="false">K241-L241</f>
        <v>0</v>
      </c>
      <c r="N241" s="12" t="n">
        <f aca="false">IF(F241="Promotional Incentive",0,I241)</f>
        <v>202.2</v>
      </c>
      <c r="O241" s="12" t="n">
        <f aca="false">IF(F241="Promotional Incentive",0,K241)</f>
        <v>20.22</v>
      </c>
      <c r="P241" s="11" t="s">
        <v>645</v>
      </c>
      <c r="Q241" s="2"/>
    </row>
    <row r="242" customFormat="false" ht="15" hidden="false" customHeight="false" outlineLevel="0" collapsed="false">
      <c r="A242" s="2" t="s">
        <v>1052</v>
      </c>
      <c r="B242" s="2" t="s">
        <v>37</v>
      </c>
      <c r="C242" s="2" t="s">
        <v>40</v>
      </c>
      <c r="D242" s="2" t="s">
        <v>386</v>
      </c>
      <c r="E242" s="2" t="s">
        <v>1053</v>
      </c>
      <c r="F242" s="19" t="s">
        <v>511</v>
      </c>
      <c r="G242" s="2" t="s">
        <v>513</v>
      </c>
      <c r="H242" s="32" t="n">
        <v>202.2</v>
      </c>
      <c r="I242" s="32" t="n">
        <v>202.2</v>
      </c>
      <c r="J242" s="33" t="n">
        <v>0.03</v>
      </c>
      <c r="K242" s="32" t="n">
        <v>6.06</v>
      </c>
      <c r="L242" s="12" t="n">
        <f aca="false">ROUND(I242*J242,2)</f>
        <v>6.07</v>
      </c>
      <c r="M242" s="12" t="n">
        <f aca="false">K242-L242</f>
        <v>-0.0100000000000007</v>
      </c>
      <c r="N242" s="12" t="n">
        <f aca="false">IF(F242="Promotional Incentive",0,I242)</f>
        <v>0</v>
      </c>
      <c r="O242" s="21" t="n">
        <f aca="false">IF(F242="Promotional Incentive",0,K242)</f>
        <v>0</v>
      </c>
      <c r="P242" s="11" t="s">
        <v>645</v>
      </c>
      <c r="Q242" s="2"/>
    </row>
    <row r="243" customFormat="false" ht="15" hidden="false" customHeight="false" outlineLevel="0" collapsed="false">
      <c r="A243" s="2" t="s">
        <v>1054</v>
      </c>
      <c r="B243" s="2" t="s">
        <v>37</v>
      </c>
      <c r="C243" s="2" t="s">
        <v>40</v>
      </c>
      <c r="D243" s="2" t="s">
        <v>1055</v>
      </c>
      <c r="E243" s="2" t="s">
        <v>1056</v>
      </c>
      <c r="F243" s="2" t="s">
        <v>1023</v>
      </c>
      <c r="G243" s="2" t="s">
        <v>513</v>
      </c>
      <c r="H243" s="32" t="n">
        <v>138.1</v>
      </c>
      <c r="I243" s="32" t="n">
        <v>138.1</v>
      </c>
      <c r="J243" s="33" t="n">
        <v>0.1</v>
      </c>
      <c r="K243" s="32" t="n">
        <v>13.81</v>
      </c>
      <c r="L243" s="12" t="n">
        <f aca="false">ROUND(I243*J243,2)</f>
        <v>13.81</v>
      </c>
      <c r="M243" s="12" t="n">
        <f aca="false">K243-L243</f>
        <v>0</v>
      </c>
      <c r="N243" s="12" t="n">
        <f aca="false">IF(F243="Promotional Incentive",0,I243)</f>
        <v>138.1</v>
      </c>
      <c r="O243" s="12" t="n">
        <f aca="false">IF(F243="Promotional Incentive",0,K243)</f>
        <v>13.81</v>
      </c>
      <c r="P243" s="11" t="s">
        <v>645</v>
      </c>
      <c r="Q243" s="2"/>
    </row>
    <row r="244" customFormat="false" ht="15" hidden="false" customHeight="false" outlineLevel="0" collapsed="false">
      <c r="A244" s="2" t="s">
        <v>1057</v>
      </c>
      <c r="B244" s="2" t="s">
        <v>37</v>
      </c>
      <c r="C244" s="2" t="s">
        <v>40</v>
      </c>
      <c r="D244" s="2" t="s">
        <v>1058</v>
      </c>
      <c r="E244" s="2" t="s">
        <v>1059</v>
      </c>
      <c r="F244" s="2" t="s">
        <v>1023</v>
      </c>
      <c r="G244" s="2" t="s">
        <v>513</v>
      </c>
      <c r="H244" s="32" t="n">
        <v>75.6</v>
      </c>
      <c r="I244" s="32" t="n">
        <v>75.6</v>
      </c>
      <c r="J244" s="33" t="n">
        <v>0.1</v>
      </c>
      <c r="K244" s="32" t="n">
        <v>7.56</v>
      </c>
      <c r="L244" s="12" t="n">
        <f aca="false">ROUND(I244*J244,2)</f>
        <v>7.56</v>
      </c>
      <c r="M244" s="12" t="n">
        <f aca="false">K244-L244</f>
        <v>0</v>
      </c>
      <c r="N244" s="12" t="n">
        <f aca="false">IF(F244="Promotional Incentive",0,I244)</f>
        <v>75.6</v>
      </c>
      <c r="O244" s="12" t="n">
        <f aca="false">IF(F244="Promotional Incentive",0,K244)</f>
        <v>7.56</v>
      </c>
      <c r="P244" s="11" t="s">
        <v>645</v>
      </c>
      <c r="Q244" s="2"/>
    </row>
    <row r="245" customFormat="false" ht="15" hidden="false" customHeight="false" outlineLevel="0" collapsed="false">
      <c r="A245" s="2" t="s">
        <v>1057</v>
      </c>
      <c r="B245" s="2" t="s">
        <v>37</v>
      </c>
      <c r="C245" s="2" t="s">
        <v>40</v>
      </c>
      <c r="D245" s="2" t="s">
        <v>1058</v>
      </c>
      <c r="E245" s="2" t="s">
        <v>1059</v>
      </c>
      <c r="F245" s="19" t="s">
        <v>511</v>
      </c>
      <c r="G245" s="2" t="s">
        <v>513</v>
      </c>
      <c r="H245" s="32" t="n">
        <v>75.6</v>
      </c>
      <c r="I245" s="32" t="n">
        <v>75.6</v>
      </c>
      <c r="J245" s="33" t="n">
        <v>0.03</v>
      </c>
      <c r="K245" s="32" t="n">
        <v>2.26</v>
      </c>
      <c r="L245" s="12" t="n">
        <f aca="false">ROUND(I245*J245,2)</f>
        <v>2.27</v>
      </c>
      <c r="M245" s="12" t="n">
        <f aca="false">K245-L245</f>
        <v>-0.0100000000000002</v>
      </c>
      <c r="N245" s="12" t="n">
        <f aca="false">IF(F245="Promotional Incentive",0,I245)</f>
        <v>0</v>
      </c>
      <c r="O245" s="21" t="n">
        <f aca="false">IF(F245="Promotional Incentive",0,K245)</f>
        <v>0</v>
      </c>
      <c r="P245" s="11" t="s">
        <v>645</v>
      </c>
      <c r="Q245" s="2"/>
    </row>
    <row r="246" customFormat="false" ht="15" hidden="false" customHeight="false" outlineLevel="0" collapsed="false">
      <c r="A246" s="2" t="s">
        <v>1060</v>
      </c>
      <c r="B246" s="2" t="s">
        <v>37</v>
      </c>
      <c r="C246" s="2" t="s">
        <v>40</v>
      </c>
      <c r="D246" s="2" t="s">
        <v>389</v>
      </c>
      <c r="E246" s="2" t="s">
        <v>1061</v>
      </c>
      <c r="F246" s="2" t="s">
        <v>1023</v>
      </c>
      <c r="G246" s="2" t="s">
        <v>513</v>
      </c>
      <c r="H246" s="32" t="n">
        <v>420.7</v>
      </c>
      <c r="I246" s="32" t="n">
        <v>420.7</v>
      </c>
      <c r="J246" s="33" t="n">
        <v>0.1</v>
      </c>
      <c r="K246" s="32" t="n">
        <v>42.07</v>
      </c>
      <c r="L246" s="12" t="n">
        <f aca="false">ROUND(I246*J246,2)</f>
        <v>42.07</v>
      </c>
      <c r="M246" s="12" t="n">
        <f aca="false">K246-L246</f>
        <v>0</v>
      </c>
      <c r="N246" s="12" t="n">
        <f aca="false">IF(F246="Promotional Incentive",0,I246)</f>
        <v>420.7</v>
      </c>
      <c r="O246" s="12" t="n">
        <f aca="false">IF(F246="Promotional Incentive",0,K246)</f>
        <v>42.07</v>
      </c>
      <c r="P246" s="11" t="s">
        <v>645</v>
      </c>
      <c r="Q246" s="2"/>
    </row>
    <row r="247" customFormat="false" ht="15" hidden="false" customHeight="false" outlineLevel="0" collapsed="false">
      <c r="A247" s="2" t="s">
        <v>1062</v>
      </c>
      <c r="B247" s="2" t="s">
        <v>37</v>
      </c>
      <c r="C247" s="2" t="s">
        <v>40</v>
      </c>
      <c r="D247" s="2" t="s">
        <v>1063</v>
      </c>
      <c r="E247" s="2" t="s">
        <v>1064</v>
      </c>
      <c r="F247" s="2" t="s">
        <v>1023</v>
      </c>
      <c r="G247" s="2" t="s">
        <v>513</v>
      </c>
      <c r="H247" s="32" t="n">
        <v>158.9</v>
      </c>
      <c r="I247" s="32" t="n">
        <v>158.9</v>
      </c>
      <c r="J247" s="33" t="n">
        <v>0.1</v>
      </c>
      <c r="K247" s="32" t="n">
        <v>15.89</v>
      </c>
      <c r="L247" s="12" t="n">
        <f aca="false">ROUND(I247*J247,2)</f>
        <v>15.89</v>
      </c>
      <c r="M247" s="12" t="n">
        <f aca="false">K247-L247</f>
        <v>0</v>
      </c>
      <c r="N247" s="12" t="n">
        <f aca="false">IF(F247="Promotional Incentive",0,I247)</f>
        <v>158.9</v>
      </c>
      <c r="O247" s="12" t="n">
        <f aca="false">IF(F247="Promotional Incentive",0,K247)</f>
        <v>15.89</v>
      </c>
      <c r="P247" s="11" t="s">
        <v>645</v>
      </c>
      <c r="Q247" s="2"/>
    </row>
    <row r="248" customFormat="false" ht="15" hidden="false" customHeight="false" outlineLevel="0" collapsed="false">
      <c r="A248" s="2" t="s">
        <v>1065</v>
      </c>
      <c r="B248" s="2" t="s">
        <v>37</v>
      </c>
      <c r="C248" s="2" t="s">
        <v>40</v>
      </c>
      <c r="D248" s="2" t="s">
        <v>392</v>
      </c>
      <c r="E248" s="2" t="s">
        <v>391</v>
      </c>
      <c r="F248" s="2" t="s">
        <v>1023</v>
      </c>
      <c r="G248" s="2" t="s">
        <v>513</v>
      </c>
      <c r="H248" s="32" t="n">
        <v>190.6</v>
      </c>
      <c r="I248" s="32" t="n">
        <v>190.6</v>
      </c>
      <c r="J248" s="33" t="n">
        <v>0.1</v>
      </c>
      <c r="K248" s="32" t="n">
        <v>19.06</v>
      </c>
      <c r="L248" s="12" t="n">
        <f aca="false">ROUND(I248*J248,2)</f>
        <v>19.06</v>
      </c>
      <c r="M248" s="12" t="n">
        <f aca="false">K248-L248</f>
        <v>0</v>
      </c>
      <c r="N248" s="12" t="n">
        <f aca="false">IF(F248="Promotional Incentive",0,I248)</f>
        <v>190.6</v>
      </c>
      <c r="O248" s="12" t="n">
        <f aca="false">IF(F248="Promotional Incentive",0,K248)</f>
        <v>19.06</v>
      </c>
      <c r="P248" s="11" t="s">
        <v>645</v>
      </c>
      <c r="Q248" s="2"/>
    </row>
    <row r="249" customFormat="false" ht="15" hidden="false" customHeight="false" outlineLevel="0" collapsed="false">
      <c r="A249" s="2" t="s">
        <v>1066</v>
      </c>
      <c r="B249" s="2" t="s">
        <v>37</v>
      </c>
      <c r="C249" s="2" t="s">
        <v>40</v>
      </c>
      <c r="D249" s="2" t="s">
        <v>396</v>
      </c>
      <c r="E249" s="2" t="s">
        <v>1067</v>
      </c>
      <c r="F249" s="2" t="s">
        <v>1023</v>
      </c>
      <c r="G249" s="2" t="s">
        <v>513</v>
      </c>
      <c r="H249" s="32" t="n">
        <v>94.4</v>
      </c>
      <c r="I249" s="32" t="n">
        <v>94.4</v>
      </c>
      <c r="J249" s="33" t="n">
        <v>0.1</v>
      </c>
      <c r="K249" s="32" t="n">
        <v>9.44</v>
      </c>
      <c r="L249" s="12" t="n">
        <f aca="false">ROUND(I249*J249,2)</f>
        <v>9.44</v>
      </c>
      <c r="M249" s="12" t="n">
        <f aca="false">K249-L249</f>
        <v>0</v>
      </c>
      <c r="N249" s="12" t="n">
        <f aca="false">IF(F249="Promotional Incentive",0,I249)</f>
        <v>94.4</v>
      </c>
      <c r="O249" s="12" t="n">
        <f aca="false">IF(F249="Promotional Incentive",0,K249)</f>
        <v>9.44</v>
      </c>
      <c r="P249" s="11" t="s">
        <v>645</v>
      </c>
      <c r="Q249" s="2"/>
    </row>
    <row r="250" customFormat="false" ht="15" hidden="false" customHeight="false" outlineLevel="0" collapsed="false">
      <c r="A250" s="2" t="s">
        <v>1068</v>
      </c>
      <c r="B250" s="2" t="s">
        <v>37</v>
      </c>
      <c r="C250" s="2" t="s">
        <v>40</v>
      </c>
      <c r="D250" s="2" t="s">
        <v>399</v>
      </c>
      <c r="E250" s="2" t="s">
        <v>398</v>
      </c>
      <c r="F250" s="2" t="s">
        <v>644</v>
      </c>
      <c r="G250" s="2" t="s">
        <v>1069</v>
      </c>
      <c r="H250" s="32" t="n">
        <v>0</v>
      </c>
      <c r="I250" s="32" t="n">
        <v>0</v>
      </c>
      <c r="J250" s="33" t="n">
        <v>0.1</v>
      </c>
      <c r="K250" s="32" t="n">
        <v>0</v>
      </c>
      <c r="L250" s="12" t="n">
        <f aca="false">ROUND(I250*J250,2)</f>
        <v>0</v>
      </c>
      <c r="M250" s="12" t="n">
        <f aca="false">K250-L250</f>
        <v>-0</v>
      </c>
      <c r="N250" s="12" t="n">
        <f aca="false">IF(F250="Promotional Incentive",0,I250)</f>
        <v>0</v>
      </c>
      <c r="O250" s="12" t="n">
        <f aca="false">IF(F250="Promotional Incentive",0,K250)</f>
        <v>-0</v>
      </c>
      <c r="P250" s="11" t="s">
        <v>645</v>
      </c>
      <c r="Q250" s="2"/>
    </row>
    <row r="251" customFormat="false" ht="15" hidden="false" customHeight="false" outlineLevel="0" collapsed="false">
      <c r="A251" s="2" t="s">
        <v>1068</v>
      </c>
      <c r="B251" s="2" t="s">
        <v>37</v>
      </c>
      <c r="C251" s="2" t="s">
        <v>40</v>
      </c>
      <c r="D251" s="2" t="s">
        <v>399</v>
      </c>
      <c r="E251" s="2" t="s">
        <v>398</v>
      </c>
      <c r="F251" s="19" t="s">
        <v>511</v>
      </c>
      <c r="G251" s="2" t="s">
        <v>1069</v>
      </c>
      <c r="H251" s="32" t="n">
        <v>0</v>
      </c>
      <c r="I251" s="32" t="n">
        <v>0</v>
      </c>
      <c r="J251" s="33" t="n">
        <v>0.03</v>
      </c>
      <c r="K251" s="32" t="n">
        <v>0</v>
      </c>
      <c r="L251" s="12" t="n">
        <f aca="false">ROUND(I251*J251,2)</f>
        <v>0</v>
      </c>
      <c r="M251" s="12" t="n">
        <f aca="false">K251-L251</f>
        <v>-0</v>
      </c>
      <c r="N251" s="12" t="n">
        <f aca="false">IF(F251="Promotional Incentive",0,I251)</f>
        <v>0</v>
      </c>
      <c r="O251" s="21" t="n">
        <f aca="false">IF(F251="Promotional Incentive",0,K251)</f>
        <v>0</v>
      </c>
      <c r="P251" s="11" t="s">
        <v>645</v>
      </c>
      <c r="Q251" s="2"/>
    </row>
    <row r="252" customFormat="false" ht="15" hidden="false" customHeight="false" outlineLevel="0" collapsed="false">
      <c r="A252" s="2" t="s">
        <v>1070</v>
      </c>
      <c r="B252" s="2" t="s">
        <v>37</v>
      </c>
      <c r="C252" s="2" t="s">
        <v>40</v>
      </c>
      <c r="D252" s="2" t="s">
        <v>1071</v>
      </c>
      <c r="E252" s="2" t="s">
        <v>1072</v>
      </c>
      <c r="F252" s="2" t="s">
        <v>1023</v>
      </c>
      <c r="G252" s="2" t="s">
        <v>513</v>
      </c>
      <c r="H252" s="32" t="n">
        <v>99.1</v>
      </c>
      <c r="I252" s="32" t="n">
        <v>99.1</v>
      </c>
      <c r="J252" s="33" t="n">
        <v>0.1</v>
      </c>
      <c r="K252" s="32" t="n">
        <v>9.91</v>
      </c>
      <c r="L252" s="12" t="n">
        <f aca="false">ROUND(I252*J252,2)</f>
        <v>9.91</v>
      </c>
      <c r="M252" s="12" t="n">
        <f aca="false">K252-L252</f>
        <v>0</v>
      </c>
      <c r="N252" s="12" t="n">
        <f aca="false">IF(F252="Promotional Incentive",0,I252)</f>
        <v>99.1</v>
      </c>
      <c r="O252" s="12" t="n">
        <f aca="false">IF(F252="Promotional Incentive",0,K252)</f>
        <v>9.91</v>
      </c>
      <c r="P252" s="11" t="s">
        <v>645</v>
      </c>
      <c r="Q252" s="2"/>
    </row>
    <row r="253" customFormat="false" ht="15" hidden="false" customHeight="false" outlineLevel="0" collapsed="false">
      <c r="A253" s="2" t="s">
        <v>1073</v>
      </c>
      <c r="B253" s="2" t="s">
        <v>37</v>
      </c>
      <c r="C253" s="2" t="s">
        <v>40</v>
      </c>
      <c r="D253" s="2" t="s">
        <v>1074</v>
      </c>
      <c r="E253" s="2" t="s">
        <v>1075</v>
      </c>
      <c r="F253" s="2" t="s">
        <v>1023</v>
      </c>
      <c r="G253" s="2" t="s">
        <v>513</v>
      </c>
      <c r="H253" s="32" t="n">
        <v>97.8</v>
      </c>
      <c r="I253" s="32" t="n">
        <v>97.8</v>
      </c>
      <c r="J253" s="33" t="n">
        <v>0.1</v>
      </c>
      <c r="K253" s="32" t="n">
        <v>9.78</v>
      </c>
      <c r="L253" s="12" t="n">
        <f aca="false">ROUND(I253*J253,2)</f>
        <v>9.78</v>
      </c>
      <c r="M253" s="12" t="n">
        <f aca="false">K253-L253</f>
        <v>0</v>
      </c>
      <c r="N253" s="12" t="n">
        <f aca="false">IF(F253="Promotional Incentive",0,I253)</f>
        <v>97.8</v>
      </c>
      <c r="O253" s="12" t="n">
        <f aca="false">IF(F253="Promotional Incentive",0,K253)</f>
        <v>9.78</v>
      </c>
      <c r="P253" s="11" t="s">
        <v>645</v>
      </c>
      <c r="Q253" s="2"/>
    </row>
    <row r="254" customFormat="false" ht="15" hidden="false" customHeight="false" outlineLevel="0" collapsed="false">
      <c r="A254" s="2" t="s">
        <v>1076</v>
      </c>
      <c r="B254" s="2" t="s">
        <v>37</v>
      </c>
      <c r="C254" s="2" t="s">
        <v>40</v>
      </c>
      <c r="D254" s="2" t="s">
        <v>401</v>
      </c>
      <c r="E254" s="2" t="s">
        <v>400</v>
      </c>
      <c r="F254" s="2" t="s">
        <v>1077</v>
      </c>
      <c r="G254" s="2" t="s">
        <v>1078</v>
      </c>
      <c r="H254" s="32" t="n">
        <v>-2598</v>
      </c>
      <c r="I254" s="32" t="n">
        <v>-2598</v>
      </c>
      <c r="J254" s="33" t="n">
        <v>0.1</v>
      </c>
      <c r="K254" s="32" t="n">
        <v>-259.8</v>
      </c>
      <c r="L254" s="12" t="n">
        <f aca="false">ROUND(I254*J254,2)</f>
        <v>-259.8</v>
      </c>
      <c r="M254" s="12" t="n">
        <f aca="false">K254-L254</f>
        <v>0</v>
      </c>
      <c r="N254" s="12" t="n">
        <f aca="false">IF(F254="Promotional Incentive",0,I254)</f>
        <v>-2598</v>
      </c>
      <c r="O254" s="12" t="n">
        <f aca="false">IF(F254="Promotional Incentive",0,K254)</f>
        <v>-259.8</v>
      </c>
      <c r="P254" s="11" t="s">
        <v>645</v>
      </c>
      <c r="Q254" s="2"/>
    </row>
    <row r="255" customFormat="false" ht="15" hidden="false" customHeight="false" outlineLevel="0" collapsed="false">
      <c r="A255" s="2" t="s">
        <v>1076</v>
      </c>
      <c r="B255" s="2" t="s">
        <v>37</v>
      </c>
      <c r="C255" s="2" t="s">
        <v>40</v>
      </c>
      <c r="D255" s="2" t="s">
        <v>401</v>
      </c>
      <c r="E255" s="2" t="s">
        <v>400</v>
      </c>
      <c r="F255" s="19" t="s">
        <v>511</v>
      </c>
      <c r="G255" s="2" t="s">
        <v>1078</v>
      </c>
      <c r="H255" s="32" t="n">
        <v>-2598</v>
      </c>
      <c r="I255" s="32" t="n">
        <v>-2598</v>
      </c>
      <c r="J255" s="33" t="n">
        <v>0.03</v>
      </c>
      <c r="K255" s="32" t="n">
        <v>-77.94</v>
      </c>
      <c r="L255" s="12" t="n">
        <f aca="false">ROUND(I255*J255,2)</f>
        <v>-77.94</v>
      </c>
      <c r="M255" s="12" t="n">
        <f aca="false">K255-L255</f>
        <v>0</v>
      </c>
      <c r="N255" s="12" t="n">
        <f aca="false">IF(F255="Promotional Incentive",0,I255)</f>
        <v>0</v>
      </c>
      <c r="O255" s="21" t="n">
        <f aca="false">IF(F255="Promotional Incentive",0,K255)</f>
        <v>0</v>
      </c>
      <c r="P255" s="11" t="s">
        <v>645</v>
      </c>
      <c r="Q255" s="2"/>
    </row>
    <row r="256" customFormat="false" ht="15" hidden="false" customHeight="false" outlineLevel="0" collapsed="false">
      <c r="A256" s="2" t="s">
        <v>1079</v>
      </c>
      <c r="B256" s="2" t="s">
        <v>37</v>
      </c>
      <c r="C256" s="2" t="s">
        <v>40</v>
      </c>
      <c r="D256" s="2" t="s">
        <v>1080</v>
      </c>
      <c r="E256" s="2" t="s">
        <v>1081</v>
      </c>
      <c r="F256" s="2" t="s">
        <v>1023</v>
      </c>
      <c r="G256" s="2" t="s">
        <v>513</v>
      </c>
      <c r="H256" s="32" t="n">
        <v>175.5</v>
      </c>
      <c r="I256" s="32" t="n">
        <v>175.5</v>
      </c>
      <c r="J256" s="33" t="n">
        <v>0.1</v>
      </c>
      <c r="K256" s="32" t="n">
        <v>17.55</v>
      </c>
      <c r="L256" s="12" t="n">
        <f aca="false">ROUND(I256*J256,2)</f>
        <v>17.55</v>
      </c>
      <c r="M256" s="12" t="n">
        <f aca="false">K256-L256</f>
        <v>0</v>
      </c>
      <c r="N256" s="12" t="n">
        <f aca="false">IF(F256="Promotional Incentive",0,I256)</f>
        <v>175.5</v>
      </c>
      <c r="O256" s="12" t="n">
        <f aca="false">IF(F256="Promotional Incentive",0,K256)</f>
        <v>17.55</v>
      </c>
      <c r="P256" s="11" t="s">
        <v>645</v>
      </c>
      <c r="Q256" s="2"/>
    </row>
    <row r="257" customFormat="false" ht="15" hidden="false" customHeight="false" outlineLevel="0" collapsed="false">
      <c r="A257" s="2" t="s">
        <v>1082</v>
      </c>
      <c r="B257" s="2" t="s">
        <v>37</v>
      </c>
      <c r="C257" s="2" t="s">
        <v>40</v>
      </c>
      <c r="D257" s="2" t="s">
        <v>404</v>
      </c>
      <c r="E257" s="2" t="s">
        <v>1083</v>
      </c>
      <c r="F257" s="2" t="s">
        <v>1023</v>
      </c>
      <c r="G257" s="2" t="s">
        <v>513</v>
      </c>
      <c r="H257" s="32" t="n">
        <v>82.6</v>
      </c>
      <c r="I257" s="32" t="n">
        <v>82.6</v>
      </c>
      <c r="J257" s="33" t="n">
        <v>0.1</v>
      </c>
      <c r="K257" s="32" t="n">
        <v>8.26</v>
      </c>
      <c r="L257" s="12" t="n">
        <f aca="false">ROUND(I257*J257,2)</f>
        <v>8.26</v>
      </c>
      <c r="M257" s="12" t="n">
        <f aca="false">K257-L257</f>
        <v>0</v>
      </c>
      <c r="N257" s="12" t="n">
        <f aca="false">IF(F257="Promotional Incentive",0,I257)</f>
        <v>82.6</v>
      </c>
      <c r="O257" s="12" t="n">
        <f aca="false">IF(F257="Promotional Incentive",0,K257)</f>
        <v>8.26</v>
      </c>
      <c r="P257" s="11" t="s">
        <v>645</v>
      </c>
      <c r="Q257" s="2"/>
    </row>
    <row r="258" customFormat="false" ht="15" hidden="false" customHeight="false" outlineLevel="0" collapsed="false">
      <c r="A258" s="2" t="s">
        <v>1082</v>
      </c>
      <c r="B258" s="2" t="s">
        <v>37</v>
      </c>
      <c r="C258" s="2" t="s">
        <v>40</v>
      </c>
      <c r="D258" s="2" t="s">
        <v>404</v>
      </c>
      <c r="E258" s="2" t="s">
        <v>1083</v>
      </c>
      <c r="F258" s="19" t="s">
        <v>511</v>
      </c>
      <c r="G258" s="2" t="s">
        <v>513</v>
      </c>
      <c r="H258" s="32" t="n">
        <v>82.6</v>
      </c>
      <c r="I258" s="32" t="n">
        <v>82.6</v>
      </c>
      <c r="J258" s="33" t="n">
        <v>0.03</v>
      </c>
      <c r="K258" s="32" t="n">
        <v>2.47</v>
      </c>
      <c r="L258" s="12" t="n">
        <f aca="false">ROUND(I258*J258,2)</f>
        <v>2.48</v>
      </c>
      <c r="M258" s="12" t="n">
        <f aca="false">K258-L258</f>
        <v>-0.00999999999999979</v>
      </c>
      <c r="N258" s="12" t="n">
        <f aca="false">IF(F258="Promotional Incentive",0,I258)</f>
        <v>0</v>
      </c>
      <c r="O258" s="21" t="n">
        <f aca="false">IF(F258="Promotional Incentive",0,K258)</f>
        <v>0</v>
      </c>
      <c r="P258" s="11" t="s">
        <v>645</v>
      </c>
      <c r="Q258" s="2"/>
    </row>
    <row r="259" customFormat="false" ht="15" hidden="false" customHeight="false" outlineLevel="0" collapsed="false">
      <c r="A259" s="2" t="s">
        <v>1084</v>
      </c>
      <c r="B259" s="2" t="s">
        <v>37</v>
      </c>
      <c r="C259" s="2" t="s">
        <v>40</v>
      </c>
      <c r="D259" s="2" t="s">
        <v>1085</v>
      </c>
      <c r="E259" s="2" t="s">
        <v>1086</v>
      </c>
      <c r="F259" s="2" t="s">
        <v>1023</v>
      </c>
      <c r="G259" s="2" t="s">
        <v>513</v>
      </c>
      <c r="H259" s="32" t="n">
        <v>80.3</v>
      </c>
      <c r="I259" s="32" t="n">
        <v>80.3</v>
      </c>
      <c r="J259" s="33" t="n">
        <v>0.1</v>
      </c>
      <c r="K259" s="32" t="n">
        <v>8.03</v>
      </c>
      <c r="L259" s="12" t="n">
        <f aca="false">ROUND(I259*J259,2)</f>
        <v>8.03</v>
      </c>
      <c r="M259" s="12" t="n">
        <f aca="false">K259-L259</f>
        <v>0</v>
      </c>
      <c r="N259" s="12" t="n">
        <f aca="false">IF(F259="Promotional Incentive",0,I259)</f>
        <v>80.3</v>
      </c>
      <c r="O259" s="12" t="n">
        <f aca="false">IF(F259="Promotional Incentive",0,K259)</f>
        <v>8.03</v>
      </c>
      <c r="P259" s="11" t="s">
        <v>645</v>
      </c>
      <c r="Q259" s="2"/>
    </row>
    <row r="260" customFormat="false" ht="15" hidden="false" customHeight="false" outlineLevel="0" collapsed="false">
      <c r="A260" s="2" t="s">
        <v>1084</v>
      </c>
      <c r="B260" s="2" t="s">
        <v>37</v>
      </c>
      <c r="C260" s="2" t="s">
        <v>40</v>
      </c>
      <c r="D260" s="2" t="s">
        <v>1085</v>
      </c>
      <c r="E260" s="2" t="s">
        <v>1086</v>
      </c>
      <c r="F260" s="19" t="s">
        <v>511</v>
      </c>
      <c r="G260" s="2" t="s">
        <v>513</v>
      </c>
      <c r="H260" s="32" t="n">
        <v>80.3</v>
      </c>
      <c r="I260" s="32" t="n">
        <v>80.3</v>
      </c>
      <c r="J260" s="33" t="n">
        <v>0.03</v>
      </c>
      <c r="K260" s="32" t="n">
        <v>2.4</v>
      </c>
      <c r="L260" s="12" t="n">
        <f aca="false">ROUND(I260*J260,2)</f>
        <v>2.41</v>
      </c>
      <c r="M260" s="12" t="n">
        <f aca="false">K260-L260</f>
        <v>-0.0100000000000002</v>
      </c>
      <c r="N260" s="12" t="n">
        <f aca="false">IF(F260="Promotional Incentive",0,I260)</f>
        <v>0</v>
      </c>
      <c r="O260" s="21" t="n">
        <f aca="false">IF(F260="Promotional Incentive",0,K260)</f>
        <v>0</v>
      </c>
      <c r="P260" s="11" t="s">
        <v>645</v>
      </c>
      <c r="Q260" s="2"/>
    </row>
    <row r="261" customFormat="false" ht="15" hidden="false" customHeight="false" outlineLevel="0" collapsed="false">
      <c r="A261" s="2" t="s">
        <v>1087</v>
      </c>
      <c r="B261" s="2" t="s">
        <v>37</v>
      </c>
      <c r="C261" s="2" t="s">
        <v>40</v>
      </c>
      <c r="D261" s="2" t="s">
        <v>408</v>
      </c>
      <c r="E261" s="2" t="s">
        <v>406</v>
      </c>
      <c r="F261" s="2" t="s">
        <v>1023</v>
      </c>
      <c r="G261" s="2" t="s">
        <v>513</v>
      </c>
      <c r="H261" s="32" t="n">
        <v>158.8</v>
      </c>
      <c r="I261" s="32" t="n">
        <v>158.8</v>
      </c>
      <c r="J261" s="33" t="n">
        <v>0.1</v>
      </c>
      <c r="K261" s="32" t="n">
        <v>15.88</v>
      </c>
      <c r="L261" s="12" t="n">
        <f aca="false">ROUND(I261*J261,2)</f>
        <v>15.88</v>
      </c>
      <c r="M261" s="12" t="n">
        <f aca="false">K261-L261</f>
        <v>0</v>
      </c>
      <c r="N261" s="12" t="n">
        <f aca="false">IF(F261="Promotional Incentive",0,I261)</f>
        <v>158.8</v>
      </c>
      <c r="O261" s="12" t="n">
        <f aca="false">IF(F261="Promotional Incentive",0,K261)</f>
        <v>15.88</v>
      </c>
      <c r="P261" s="11" t="s">
        <v>645</v>
      </c>
      <c r="Q261" s="2"/>
    </row>
    <row r="262" customFormat="false" ht="15" hidden="false" customHeight="false" outlineLevel="0" collapsed="false">
      <c r="A262" s="2" t="s">
        <v>1088</v>
      </c>
      <c r="B262" s="2" t="s">
        <v>37</v>
      </c>
      <c r="C262" s="2" t="s">
        <v>40</v>
      </c>
      <c r="D262" s="2" t="s">
        <v>1089</v>
      </c>
      <c r="E262" s="2" t="s">
        <v>1090</v>
      </c>
      <c r="F262" s="2" t="s">
        <v>1023</v>
      </c>
      <c r="G262" s="2" t="s">
        <v>513</v>
      </c>
      <c r="H262" s="32" t="n">
        <v>57.4</v>
      </c>
      <c r="I262" s="32" t="n">
        <v>57.4</v>
      </c>
      <c r="J262" s="33" t="n">
        <v>0.1</v>
      </c>
      <c r="K262" s="32" t="n">
        <v>5.74</v>
      </c>
      <c r="L262" s="12" t="n">
        <f aca="false">ROUND(I262*J262,2)</f>
        <v>5.74</v>
      </c>
      <c r="M262" s="12" t="n">
        <f aca="false">K262-L262</f>
        <v>0</v>
      </c>
      <c r="N262" s="12" t="n">
        <f aca="false">IF(F262="Promotional Incentive",0,I262)</f>
        <v>57.4</v>
      </c>
      <c r="O262" s="12" t="n">
        <f aca="false">IF(F262="Promotional Incentive",0,K262)</f>
        <v>5.74</v>
      </c>
      <c r="P262" s="11" t="s">
        <v>645</v>
      </c>
      <c r="Q262" s="2"/>
    </row>
    <row r="263" customFormat="false" ht="15" hidden="false" customHeight="false" outlineLevel="0" collapsed="false">
      <c r="A263" s="2" t="s">
        <v>1091</v>
      </c>
      <c r="B263" s="2" t="s">
        <v>37</v>
      </c>
      <c r="C263" s="2" t="s">
        <v>40</v>
      </c>
      <c r="D263" s="2" t="s">
        <v>411</v>
      </c>
      <c r="E263" s="2" t="s">
        <v>1092</v>
      </c>
      <c r="F263" s="2" t="s">
        <v>644</v>
      </c>
      <c r="G263" s="2" t="s">
        <v>1093</v>
      </c>
      <c r="H263" s="32" t="n">
        <v>0</v>
      </c>
      <c r="I263" s="32" t="n">
        <v>0</v>
      </c>
      <c r="J263" s="33" t="n">
        <v>0.1</v>
      </c>
      <c r="K263" s="32" t="n">
        <v>0</v>
      </c>
      <c r="L263" s="12" t="n">
        <f aca="false">ROUND(I263*J263,2)</f>
        <v>0</v>
      </c>
      <c r="M263" s="12" t="n">
        <f aca="false">K263-L263</f>
        <v>-0</v>
      </c>
      <c r="N263" s="12" t="n">
        <f aca="false">IF(F263="Promotional Incentive",0,I263)</f>
        <v>0</v>
      </c>
      <c r="O263" s="12" t="n">
        <f aca="false">IF(F263="Promotional Incentive",0,K263)</f>
        <v>-0</v>
      </c>
      <c r="P263" s="11" t="s">
        <v>645</v>
      </c>
      <c r="Q263" s="2"/>
    </row>
    <row r="264" customFormat="false" ht="15" hidden="false" customHeight="false" outlineLevel="0" collapsed="false">
      <c r="A264" s="2" t="s">
        <v>1091</v>
      </c>
      <c r="B264" s="2" t="s">
        <v>37</v>
      </c>
      <c r="C264" s="2" t="s">
        <v>40</v>
      </c>
      <c r="D264" s="2" t="s">
        <v>411</v>
      </c>
      <c r="E264" s="2" t="s">
        <v>1092</v>
      </c>
      <c r="F264" s="19" t="s">
        <v>511</v>
      </c>
      <c r="G264" s="2" t="s">
        <v>1093</v>
      </c>
      <c r="H264" s="32" t="n">
        <v>0</v>
      </c>
      <c r="I264" s="32" t="n">
        <v>0</v>
      </c>
      <c r="J264" s="33" t="n">
        <v>0.03</v>
      </c>
      <c r="K264" s="32" t="n">
        <v>0</v>
      </c>
      <c r="L264" s="12" t="n">
        <f aca="false">ROUND(I264*J264,2)</f>
        <v>0</v>
      </c>
      <c r="M264" s="12" t="n">
        <f aca="false">K264-L264</f>
        <v>-0</v>
      </c>
      <c r="N264" s="12" t="n">
        <f aca="false">IF(F264="Promotional Incentive",0,I264)</f>
        <v>0</v>
      </c>
      <c r="O264" s="21" t="n">
        <f aca="false">IF(F264="Promotional Incentive",0,K264)</f>
        <v>0</v>
      </c>
      <c r="P264" s="11" t="s">
        <v>645</v>
      </c>
      <c r="Q264" s="2"/>
    </row>
    <row r="265" customFormat="false" ht="15" hidden="false" customHeight="false" outlineLevel="0" collapsed="false">
      <c r="A265" s="2" t="s">
        <v>1094</v>
      </c>
      <c r="B265" s="2" t="s">
        <v>37</v>
      </c>
      <c r="C265" s="2" t="s">
        <v>40</v>
      </c>
      <c r="D265" s="2" t="s">
        <v>413</v>
      </c>
      <c r="E265" s="2" t="s">
        <v>412</v>
      </c>
      <c r="F265" s="2" t="s">
        <v>644</v>
      </c>
      <c r="G265" s="2" t="s">
        <v>1095</v>
      </c>
      <c r="H265" s="32" t="n">
        <v>0</v>
      </c>
      <c r="I265" s="32" t="n">
        <v>0</v>
      </c>
      <c r="J265" s="33" t="n">
        <v>0.1</v>
      </c>
      <c r="K265" s="32" t="n">
        <v>0</v>
      </c>
      <c r="L265" s="12" t="n">
        <f aca="false">ROUND(I265*J265,2)</f>
        <v>0</v>
      </c>
      <c r="M265" s="12" t="n">
        <f aca="false">K265-L265</f>
        <v>-0</v>
      </c>
      <c r="N265" s="12" t="n">
        <f aca="false">IF(F265="Promotional Incentive",0,I265)</f>
        <v>0</v>
      </c>
      <c r="O265" s="12" t="n">
        <f aca="false">IF(F265="Promotional Incentive",0,K265)</f>
        <v>-0</v>
      </c>
      <c r="P265" s="11" t="s">
        <v>645</v>
      </c>
      <c r="Q265" s="2"/>
    </row>
    <row r="266" customFormat="false" ht="15" hidden="false" customHeight="false" outlineLevel="0" collapsed="false">
      <c r="A266" s="2" t="s">
        <v>1094</v>
      </c>
      <c r="B266" s="2" t="s">
        <v>37</v>
      </c>
      <c r="C266" s="2" t="s">
        <v>40</v>
      </c>
      <c r="D266" s="2" t="s">
        <v>413</v>
      </c>
      <c r="E266" s="2" t="s">
        <v>412</v>
      </c>
      <c r="F266" s="19" t="s">
        <v>511</v>
      </c>
      <c r="G266" s="2" t="s">
        <v>1095</v>
      </c>
      <c r="H266" s="32" t="n">
        <v>0</v>
      </c>
      <c r="I266" s="32" t="n">
        <v>0</v>
      </c>
      <c r="J266" s="33" t="n">
        <v>0.03</v>
      </c>
      <c r="K266" s="32" t="n">
        <v>0</v>
      </c>
      <c r="L266" s="12" t="n">
        <f aca="false">ROUND(I266*J266,2)</f>
        <v>0</v>
      </c>
      <c r="M266" s="12" t="n">
        <f aca="false">K266-L266</f>
        <v>-0</v>
      </c>
      <c r="N266" s="12" t="n">
        <f aca="false">IF(F266="Promotional Incentive",0,I266)</f>
        <v>0</v>
      </c>
      <c r="O266" s="21" t="n">
        <f aca="false">IF(F266="Promotional Incentive",0,K266)</f>
        <v>0</v>
      </c>
      <c r="P266" s="11" t="s">
        <v>645</v>
      </c>
      <c r="Q266" s="2"/>
    </row>
    <row r="267" customFormat="false" ht="15" hidden="false" customHeight="false" outlineLevel="0" collapsed="false">
      <c r="A267" s="2" t="s">
        <v>1094</v>
      </c>
      <c r="B267" s="2" t="s">
        <v>37</v>
      </c>
      <c r="C267" s="2" t="s">
        <v>40</v>
      </c>
      <c r="D267" s="2" t="s">
        <v>413</v>
      </c>
      <c r="E267" s="2" t="s">
        <v>412</v>
      </c>
      <c r="F267" s="2" t="s">
        <v>644</v>
      </c>
      <c r="G267" s="2" t="s">
        <v>1096</v>
      </c>
      <c r="H267" s="32" t="n">
        <v>0</v>
      </c>
      <c r="I267" s="32" t="n">
        <v>0</v>
      </c>
      <c r="J267" s="33" t="n">
        <v>0.1</v>
      </c>
      <c r="K267" s="32" t="n">
        <v>0</v>
      </c>
      <c r="L267" s="12" t="n">
        <f aca="false">ROUND(I267*J267,2)</f>
        <v>0</v>
      </c>
      <c r="M267" s="12" t="n">
        <f aca="false">K267-L267</f>
        <v>-0</v>
      </c>
      <c r="N267" s="12" t="n">
        <f aca="false">IF(F267="Promotional Incentive",0,I267)</f>
        <v>0</v>
      </c>
      <c r="O267" s="12" t="n">
        <f aca="false">IF(F267="Promotional Incentive",0,K267)</f>
        <v>-0</v>
      </c>
      <c r="P267" s="11" t="s">
        <v>645</v>
      </c>
      <c r="Q267" s="2"/>
    </row>
    <row r="268" customFormat="false" ht="15" hidden="false" customHeight="false" outlineLevel="0" collapsed="false">
      <c r="A268" s="2" t="s">
        <v>1094</v>
      </c>
      <c r="B268" s="2" t="s">
        <v>37</v>
      </c>
      <c r="C268" s="2" t="s">
        <v>40</v>
      </c>
      <c r="D268" s="2" t="s">
        <v>413</v>
      </c>
      <c r="E268" s="2" t="s">
        <v>412</v>
      </c>
      <c r="F268" s="19" t="s">
        <v>511</v>
      </c>
      <c r="G268" s="2" t="s">
        <v>1096</v>
      </c>
      <c r="H268" s="32" t="n">
        <v>0</v>
      </c>
      <c r="I268" s="32" t="n">
        <v>0</v>
      </c>
      <c r="J268" s="33" t="n">
        <v>0.03</v>
      </c>
      <c r="K268" s="32" t="n">
        <v>0</v>
      </c>
      <c r="L268" s="12" t="n">
        <f aca="false">ROUND(I268*J268,2)</f>
        <v>0</v>
      </c>
      <c r="M268" s="12" t="n">
        <f aca="false">K268-L268</f>
        <v>-0</v>
      </c>
      <c r="N268" s="12" t="n">
        <f aca="false">IF(F268="Promotional Incentive",0,I268)</f>
        <v>0</v>
      </c>
      <c r="O268" s="21" t="n">
        <f aca="false">IF(F268="Promotional Incentive",0,K268)</f>
        <v>0</v>
      </c>
      <c r="P268" s="11" t="s">
        <v>645</v>
      </c>
      <c r="Q268" s="2"/>
    </row>
    <row r="269" customFormat="false" ht="15" hidden="false" customHeight="false" outlineLevel="0" collapsed="false">
      <c r="A269" s="2" t="s">
        <v>1097</v>
      </c>
      <c r="B269" s="2" t="s">
        <v>37</v>
      </c>
      <c r="C269" s="2" t="s">
        <v>40</v>
      </c>
      <c r="D269" s="2" t="s">
        <v>1098</v>
      </c>
      <c r="E269" s="2" t="s">
        <v>1099</v>
      </c>
      <c r="F269" s="2" t="s">
        <v>1023</v>
      </c>
      <c r="G269" s="2" t="s">
        <v>513</v>
      </c>
      <c r="H269" s="32" t="n">
        <v>105.3</v>
      </c>
      <c r="I269" s="32" t="n">
        <v>105.3</v>
      </c>
      <c r="J269" s="33" t="n">
        <v>0.1</v>
      </c>
      <c r="K269" s="32" t="n">
        <v>10.53</v>
      </c>
      <c r="L269" s="12" t="n">
        <f aca="false">ROUND(I269*J269,2)</f>
        <v>10.53</v>
      </c>
      <c r="M269" s="12" t="n">
        <f aca="false">K269-L269</f>
        <v>0</v>
      </c>
      <c r="N269" s="12" t="n">
        <f aca="false">IF(F269="Promotional Incentive",0,I269)</f>
        <v>105.3</v>
      </c>
      <c r="O269" s="12" t="n">
        <f aca="false">IF(F269="Promotional Incentive",0,K269)</f>
        <v>10.53</v>
      </c>
      <c r="P269" s="11" t="s">
        <v>645</v>
      </c>
      <c r="Q269" s="2"/>
    </row>
    <row r="270" customFormat="false" ht="15" hidden="false" customHeight="false" outlineLevel="0" collapsed="false">
      <c r="A270" s="2" t="s">
        <v>1100</v>
      </c>
      <c r="B270" s="2" t="s">
        <v>37</v>
      </c>
      <c r="C270" s="2" t="s">
        <v>40</v>
      </c>
      <c r="D270" s="2" t="s">
        <v>416</v>
      </c>
      <c r="E270" s="2" t="s">
        <v>1101</v>
      </c>
      <c r="F270" s="2" t="s">
        <v>1023</v>
      </c>
      <c r="G270" s="2" t="s">
        <v>513</v>
      </c>
      <c r="H270" s="32" t="n">
        <v>232.5</v>
      </c>
      <c r="I270" s="32" t="n">
        <v>232.5</v>
      </c>
      <c r="J270" s="33" t="n">
        <v>0.1</v>
      </c>
      <c r="K270" s="32" t="n">
        <v>23.25</v>
      </c>
      <c r="L270" s="12" t="n">
        <f aca="false">ROUND(I270*J270,2)</f>
        <v>23.25</v>
      </c>
      <c r="M270" s="12" t="n">
        <f aca="false">K270-L270</f>
        <v>0</v>
      </c>
      <c r="N270" s="12" t="n">
        <f aca="false">IF(F270="Promotional Incentive",0,I270)</f>
        <v>232.5</v>
      </c>
      <c r="O270" s="12" t="n">
        <f aca="false">IF(F270="Promotional Incentive",0,K270)</f>
        <v>23.25</v>
      </c>
      <c r="P270" s="11" t="s">
        <v>645</v>
      </c>
      <c r="Q270" s="2"/>
    </row>
    <row r="271" customFormat="false" ht="15" hidden="false" customHeight="false" outlineLevel="0" collapsed="false">
      <c r="A271" s="2" t="s">
        <v>1102</v>
      </c>
      <c r="B271" s="2" t="s">
        <v>37</v>
      </c>
      <c r="C271" s="2" t="s">
        <v>40</v>
      </c>
      <c r="D271" s="2" t="s">
        <v>1103</v>
      </c>
      <c r="E271" s="2" t="s">
        <v>1104</v>
      </c>
      <c r="F271" s="2" t="s">
        <v>1023</v>
      </c>
      <c r="G271" s="2" t="s">
        <v>513</v>
      </c>
      <c r="H271" s="32" t="n">
        <v>108.9</v>
      </c>
      <c r="I271" s="32" t="n">
        <v>108.9</v>
      </c>
      <c r="J271" s="33" t="n">
        <v>0.1</v>
      </c>
      <c r="K271" s="32" t="n">
        <v>10.89</v>
      </c>
      <c r="L271" s="12" t="n">
        <f aca="false">ROUND(I271*J271,2)</f>
        <v>10.89</v>
      </c>
      <c r="M271" s="12" t="n">
        <f aca="false">K271-L271</f>
        <v>0</v>
      </c>
      <c r="N271" s="12" t="n">
        <f aca="false">IF(F271="Promotional Incentive",0,I271)</f>
        <v>108.9</v>
      </c>
      <c r="O271" s="12" t="n">
        <f aca="false">IF(F271="Promotional Incentive",0,K271)</f>
        <v>10.89</v>
      </c>
      <c r="P271" s="11" t="s">
        <v>645</v>
      </c>
      <c r="Q271" s="2"/>
    </row>
    <row r="272" customFormat="false" ht="15" hidden="false" customHeight="false" outlineLevel="0" collapsed="false">
      <c r="A272" s="2" t="s">
        <v>1105</v>
      </c>
      <c r="B272" s="2" t="s">
        <v>37</v>
      </c>
      <c r="C272" s="2" t="s">
        <v>40</v>
      </c>
      <c r="D272" s="2" t="s">
        <v>419</v>
      </c>
      <c r="E272" s="2" t="s">
        <v>1106</v>
      </c>
      <c r="F272" s="2" t="s">
        <v>1023</v>
      </c>
      <c r="G272" s="2" t="s">
        <v>513</v>
      </c>
      <c r="H272" s="32" t="n">
        <v>146.8</v>
      </c>
      <c r="I272" s="32" t="n">
        <v>146.8</v>
      </c>
      <c r="J272" s="33" t="n">
        <v>0.1</v>
      </c>
      <c r="K272" s="32" t="n">
        <v>14.68</v>
      </c>
      <c r="L272" s="12" t="n">
        <f aca="false">ROUND(I272*J272,2)</f>
        <v>14.68</v>
      </c>
      <c r="M272" s="12" t="n">
        <f aca="false">K272-L272</f>
        <v>0</v>
      </c>
      <c r="N272" s="12" t="n">
        <f aca="false">IF(F272="Promotional Incentive",0,I272)</f>
        <v>146.8</v>
      </c>
      <c r="O272" s="12" t="n">
        <f aca="false">IF(F272="Promotional Incentive",0,K272)</f>
        <v>14.68</v>
      </c>
      <c r="P272" s="11" t="s">
        <v>645</v>
      </c>
      <c r="Q272" s="2"/>
    </row>
    <row r="273" customFormat="false" ht="15" hidden="false" customHeight="false" outlineLevel="0" collapsed="false">
      <c r="A273" s="2" t="s">
        <v>1107</v>
      </c>
      <c r="B273" s="2" t="s">
        <v>37</v>
      </c>
      <c r="C273" s="2" t="s">
        <v>40</v>
      </c>
      <c r="D273" s="2" t="s">
        <v>422</v>
      </c>
      <c r="E273" s="2" t="s">
        <v>1108</v>
      </c>
      <c r="F273" s="2" t="s">
        <v>1023</v>
      </c>
      <c r="G273" s="2" t="s">
        <v>513</v>
      </c>
      <c r="H273" s="32" t="n">
        <v>122.6</v>
      </c>
      <c r="I273" s="32" t="n">
        <v>122.6</v>
      </c>
      <c r="J273" s="33" t="n">
        <v>0.1</v>
      </c>
      <c r="K273" s="32" t="n">
        <v>12.26</v>
      </c>
      <c r="L273" s="12" t="n">
        <f aca="false">ROUND(I273*J273,2)</f>
        <v>12.26</v>
      </c>
      <c r="M273" s="12" t="n">
        <f aca="false">K273-L273</f>
        <v>0</v>
      </c>
      <c r="N273" s="12" t="n">
        <f aca="false">IF(F273="Promotional Incentive",0,I273)</f>
        <v>122.6</v>
      </c>
      <c r="O273" s="12" t="n">
        <f aca="false">IF(F273="Promotional Incentive",0,K273)</f>
        <v>12.26</v>
      </c>
      <c r="P273" s="11" t="s">
        <v>645</v>
      </c>
      <c r="Q273" s="2"/>
    </row>
    <row r="274" customFormat="false" ht="15" hidden="false" customHeight="false" outlineLevel="0" collapsed="false">
      <c r="A274" s="2" t="s">
        <v>1109</v>
      </c>
      <c r="B274" s="2" t="s">
        <v>37</v>
      </c>
      <c r="C274" s="2" t="s">
        <v>40</v>
      </c>
      <c r="D274" s="2" t="s">
        <v>425</v>
      </c>
      <c r="E274" s="2" t="s">
        <v>424</v>
      </c>
      <c r="F274" s="2" t="s">
        <v>644</v>
      </c>
      <c r="G274" s="2" t="s">
        <v>1110</v>
      </c>
      <c r="H274" s="32" t="n">
        <v>18</v>
      </c>
      <c r="I274" s="32" t="n">
        <v>18</v>
      </c>
      <c r="J274" s="33" t="n">
        <v>0.1</v>
      </c>
      <c r="K274" s="32" t="n">
        <v>1.8</v>
      </c>
      <c r="L274" s="12" t="n">
        <f aca="false">ROUND(I274*J274,2)</f>
        <v>1.8</v>
      </c>
      <c r="M274" s="12" t="n">
        <f aca="false">K274-L274</f>
        <v>0</v>
      </c>
      <c r="N274" s="12" t="n">
        <f aca="false">IF(F274="Promotional Incentive",0,I274)</f>
        <v>18</v>
      </c>
      <c r="O274" s="12" t="n">
        <f aca="false">IF(F274="Promotional Incentive",0,K274)</f>
        <v>1.8</v>
      </c>
      <c r="P274" s="11" t="s">
        <v>645</v>
      </c>
      <c r="Q274" s="2"/>
    </row>
    <row r="275" customFormat="false" ht="15" hidden="false" customHeight="false" outlineLevel="0" collapsed="false">
      <c r="A275" s="2" t="s">
        <v>1109</v>
      </c>
      <c r="B275" s="2" t="s">
        <v>37</v>
      </c>
      <c r="C275" s="2" t="s">
        <v>40</v>
      </c>
      <c r="D275" s="2" t="s">
        <v>425</v>
      </c>
      <c r="E275" s="2" t="s">
        <v>424</v>
      </c>
      <c r="F275" s="19" t="s">
        <v>511</v>
      </c>
      <c r="G275" s="2" t="s">
        <v>1110</v>
      </c>
      <c r="H275" s="32" t="n">
        <v>18</v>
      </c>
      <c r="I275" s="32" t="n">
        <v>18</v>
      </c>
      <c r="J275" s="33" t="n">
        <v>0.03</v>
      </c>
      <c r="K275" s="32" t="n">
        <v>0.54</v>
      </c>
      <c r="L275" s="12" t="n">
        <f aca="false">ROUND(I275*J275,2)</f>
        <v>0.54</v>
      </c>
      <c r="M275" s="12" t="n">
        <f aca="false">K275-L275</f>
        <v>0</v>
      </c>
      <c r="N275" s="12" t="n">
        <f aca="false">IF(F275="Promotional Incentive",0,I275)</f>
        <v>0</v>
      </c>
      <c r="O275" s="21" t="n">
        <f aca="false">IF(F275="Promotional Incentive",0,K275)</f>
        <v>0</v>
      </c>
      <c r="P275" s="11" t="s">
        <v>645</v>
      </c>
      <c r="Q275" s="2"/>
    </row>
    <row r="276" customFormat="false" ht="15" hidden="false" customHeight="false" outlineLevel="0" collapsed="false">
      <c r="A276" s="2" t="s">
        <v>1111</v>
      </c>
      <c r="B276" s="2" t="s">
        <v>37</v>
      </c>
      <c r="C276" s="2" t="s">
        <v>40</v>
      </c>
      <c r="D276" s="2" t="s">
        <v>428</v>
      </c>
      <c r="E276" s="2" t="s">
        <v>1112</v>
      </c>
      <c r="F276" s="2" t="s">
        <v>644</v>
      </c>
      <c r="G276" s="2" t="s">
        <v>1033</v>
      </c>
      <c r="H276" s="32" t="n">
        <v>-226</v>
      </c>
      <c r="I276" s="32" t="n">
        <v>-226</v>
      </c>
      <c r="J276" s="33" t="n">
        <v>0.1</v>
      </c>
      <c r="K276" s="32" t="n">
        <v>-22.6</v>
      </c>
      <c r="L276" s="12" t="n">
        <f aca="false">ROUND(I276*J276,2)</f>
        <v>-22.6</v>
      </c>
      <c r="M276" s="12" t="n">
        <f aca="false">K276-L276</f>
        <v>0</v>
      </c>
      <c r="N276" s="12" t="n">
        <f aca="false">IF(F276="Promotional Incentive",0,I276)</f>
        <v>-226</v>
      </c>
      <c r="O276" s="12" t="n">
        <f aca="false">IF(F276="Promotional Incentive",0,K276)</f>
        <v>-22.6</v>
      </c>
      <c r="P276" s="11" t="s">
        <v>645</v>
      </c>
      <c r="Q276" s="2"/>
    </row>
    <row r="277" customFormat="false" ht="15" hidden="false" customHeight="false" outlineLevel="0" collapsed="false">
      <c r="A277" s="2" t="s">
        <v>1111</v>
      </c>
      <c r="B277" s="2" t="s">
        <v>37</v>
      </c>
      <c r="C277" s="2" t="s">
        <v>40</v>
      </c>
      <c r="D277" s="2" t="s">
        <v>428</v>
      </c>
      <c r="E277" s="2" t="s">
        <v>1112</v>
      </c>
      <c r="F277" s="19" t="s">
        <v>511</v>
      </c>
      <c r="G277" s="2" t="s">
        <v>1033</v>
      </c>
      <c r="H277" s="32" t="n">
        <v>-226</v>
      </c>
      <c r="I277" s="32" t="n">
        <v>-226</v>
      </c>
      <c r="J277" s="33" t="n">
        <v>0.03</v>
      </c>
      <c r="K277" s="32" t="n">
        <v>-6.78</v>
      </c>
      <c r="L277" s="12" t="n">
        <f aca="false">ROUND(I277*J277,2)</f>
        <v>-6.78</v>
      </c>
      <c r="M277" s="12" t="n">
        <f aca="false">K277-L277</f>
        <v>0</v>
      </c>
      <c r="N277" s="12" t="n">
        <f aca="false">IF(F277="Promotional Incentive",0,I277)</f>
        <v>0</v>
      </c>
      <c r="O277" s="21" t="n">
        <f aca="false">IF(F277="Promotional Incentive",0,K277)</f>
        <v>0</v>
      </c>
      <c r="P277" s="11" t="s">
        <v>645</v>
      </c>
      <c r="Q277" s="2"/>
    </row>
    <row r="278" customFormat="false" ht="15" hidden="false" customHeight="false" outlineLevel="0" collapsed="false">
      <c r="A278" s="2" t="s">
        <v>1111</v>
      </c>
      <c r="B278" s="2" t="s">
        <v>37</v>
      </c>
      <c r="C278" s="2" t="s">
        <v>40</v>
      </c>
      <c r="D278" s="2" t="s">
        <v>428</v>
      </c>
      <c r="E278" s="2" t="s">
        <v>1112</v>
      </c>
      <c r="F278" s="2" t="s">
        <v>644</v>
      </c>
      <c r="G278" s="2" t="s">
        <v>1110</v>
      </c>
      <c r="H278" s="32" t="n">
        <v>50</v>
      </c>
      <c r="I278" s="32" t="n">
        <v>50</v>
      </c>
      <c r="J278" s="33" t="n">
        <v>0.1</v>
      </c>
      <c r="K278" s="32" t="n">
        <v>5</v>
      </c>
      <c r="L278" s="12" t="n">
        <f aca="false">ROUND(I278*J278,2)</f>
        <v>5</v>
      </c>
      <c r="M278" s="12" t="n">
        <f aca="false">K278-L278</f>
        <v>0</v>
      </c>
      <c r="N278" s="12" t="n">
        <f aca="false">IF(F278="Promotional Incentive",0,I278)</f>
        <v>50</v>
      </c>
      <c r="O278" s="12" t="n">
        <f aca="false">IF(F278="Promotional Incentive",0,K278)</f>
        <v>5</v>
      </c>
      <c r="P278" s="11" t="s">
        <v>645</v>
      </c>
      <c r="Q278" s="2"/>
    </row>
    <row r="279" customFormat="false" ht="15" hidden="false" customHeight="false" outlineLevel="0" collapsed="false">
      <c r="A279" s="2" t="s">
        <v>1111</v>
      </c>
      <c r="B279" s="2" t="s">
        <v>37</v>
      </c>
      <c r="C279" s="2" t="s">
        <v>40</v>
      </c>
      <c r="D279" s="2" t="s">
        <v>428</v>
      </c>
      <c r="E279" s="2" t="s">
        <v>1112</v>
      </c>
      <c r="F279" s="19" t="s">
        <v>511</v>
      </c>
      <c r="G279" s="2" t="s">
        <v>1110</v>
      </c>
      <c r="H279" s="32" t="n">
        <v>50</v>
      </c>
      <c r="I279" s="32" t="n">
        <v>50</v>
      </c>
      <c r="J279" s="33" t="n">
        <v>0.03</v>
      </c>
      <c r="K279" s="32" t="n">
        <v>1.5</v>
      </c>
      <c r="L279" s="12" t="n">
        <f aca="false">ROUND(I279*J279,2)</f>
        <v>1.5</v>
      </c>
      <c r="M279" s="12" t="n">
        <f aca="false">K279-L279</f>
        <v>0</v>
      </c>
      <c r="N279" s="12" t="n">
        <f aca="false">IF(F279="Promotional Incentive",0,I279)</f>
        <v>0</v>
      </c>
      <c r="O279" s="21" t="n">
        <f aca="false">IF(F279="Promotional Incentive",0,K279)</f>
        <v>0</v>
      </c>
      <c r="P279" s="11" t="s">
        <v>645</v>
      </c>
      <c r="Q279" s="2"/>
    </row>
    <row r="280" customFormat="false" ht="15" hidden="false" customHeight="false" outlineLevel="0" collapsed="false">
      <c r="A280" s="2" t="s">
        <v>1111</v>
      </c>
      <c r="B280" s="2" t="s">
        <v>37</v>
      </c>
      <c r="C280" s="2" t="s">
        <v>40</v>
      </c>
      <c r="D280" s="2" t="s">
        <v>428</v>
      </c>
      <c r="E280" s="2" t="s">
        <v>1112</v>
      </c>
      <c r="F280" s="2" t="s">
        <v>644</v>
      </c>
      <c r="G280" s="2" t="s">
        <v>1093</v>
      </c>
      <c r="H280" s="32" t="n">
        <v>-49</v>
      </c>
      <c r="I280" s="32" t="n">
        <v>-49</v>
      </c>
      <c r="J280" s="33" t="n">
        <v>0.1</v>
      </c>
      <c r="K280" s="32" t="n">
        <v>-4.9</v>
      </c>
      <c r="L280" s="12" t="n">
        <f aca="false">ROUND(I280*J280,2)</f>
        <v>-4.9</v>
      </c>
      <c r="M280" s="12" t="n">
        <f aca="false">K280-L280</f>
        <v>0</v>
      </c>
      <c r="N280" s="12" t="n">
        <f aca="false">IF(F280="Promotional Incentive",0,I280)</f>
        <v>-49</v>
      </c>
      <c r="O280" s="12" t="n">
        <f aca="false">IF(F280="Promotional Incentive",0,K280)</f>
        <v>-4.9</v>
      </c>
      <c r="P280" s="11" t="s">
        <v>645</v>
      </c>
      <c r="Q280" s="2"/>
    </row>
    <row r="281" customFormat="false" ht="15" hidden="false" customHeight="false" outlineLevel="0" collapsed="false">
      <c r="A281" s="2" t="s">
        <v>1111</v>
      </c>
      <c r="B281" s="2" t="s">
        <v>37</v>
      </c>
      <c r="C281" s="2" t="s">
        <v>40</v>
      </c>
      <c r="D281" s="2" t="s">
        <v>428</v>
      </c>
      <c r="E281" s="2" t="s">
        <v>1112</v>
      </c>
      <c r="F281" s="19" t="s">
        <v>511</v>
      </c>
      <c r="G281" s="2" t="s">
        <v>1093</v>
      </c>
      <c r="H281" s="32" t="n">
        <v>-49</v>
      </c>
      <c r="I281" s="32" t="n">
        <v>-49</v>
      </c>
      <c r="J281" s="33" t="n">
        <v>0.03</v>
      </c>
      <c r="K281" s="32" t="n">
        <v>-1.47</v>
      </c>
      <c r="L281" s="12" t="n">
        <f aca="false">ROUND(I281*J281,2)</f>
        <v>-1.47</v>
      </c>
      <c r="M281" s="12" t="n">
        <f aca="false">K281-L281</f>
        <v>0</v>
      </c>
      <c r="N281" s="12" t="n">
        <f aca="false">IF(F281="Promotional Incentive",0,I281)</f>
        <v>0</v>
      </c>
      <c r="O281" s="21" t="n">
        <f aca="false">IF(F281="Promotional Incentive",0,K281)</f>
        <v>0</v>
      </c>
      <c r="P281" s="11" t="s">
        <v>645</v>
      </c>
      <c r="Q281" s="2"/>
    </row>
    <row r="282" customFormat="false" ht="15" hidden="false" customHeight="false" outlineLevel="0" collapsed="false">
      <c r="A282" s="2" t="s">
        <v>1113</v>
      </c>
      <c r="B282" s="2" t="s">
        <v>37</v>
      </c>
      <c r="C282" s="2" t="s">
        <v>40</v>
      </c>
      <c r="D282" s="2" t="s">
        <v>431</v>
      </c>
      <c r="E282" s="2" t="s">
        <v>1114</v>
      </c>
      <c r="F282" s="2" t="s">
        <v>644</v>
      </c>
      <c r="G282" s="2" t="s">
        <v>1036</v>
      </c>
      <c r="H282" s="32" t="n">
        <v>157</v>
      </c>
      <c r="I282" s="32" t="n">
        <v>157</v>
      </c>
      <c r="J282" s="33" t="n">
        <v>0.1</v>
      </c>
      <c r="K282" s="32" t="n">
        <v>15.7</v>
      </c>
      <c r="L282" s="12" t="n">
        <f aca="false">ROUND(I282*J282,2)</f>
        <v>15.7</v>
      </c>
      <c r="M282" s="12" t="n">
        <f aca="false">K282-L282</f>
        <v>0</v>
      </c>
      <c r="N282" s="12" t="n">
        <f aca="false">IF(F282="Promotional Incentive",0,I282)</f>
        <v>157</v>
      </c>
      <c r="O282" s="12" t="n">
        <f aca="false">IF(F282="Promotional Incentive",0,K282)</f>
        <v>15.7</v>
      </c>
      <c r="P282" s="11" t="s">
        <v>645</v>
      </c>
      <c r="Q282" s="2"/>
    </row>
    <row r="283" customFormat="false" ht="15" hidden="false" customHeight="false" outlineLevel="0" collapsed="false">
      <c r="A283" s="2" t="s">
        <v>1113</v>
      </c>
      <c r="B283" s="2" t="s">
        <v>37</v>
      </c>
      <c r="C283" s="2" t="s">
        <v>40</v>
      </c>
      <c r="D283" s="2" t="s">
        <v>431</v>
      </c>
      <c r="E283" s="2" t="s">
        <v>1114</v>
      </c>
      <c r="F283" s="19" t="s">
        <v>511</v>
      </c>
      <c r="G283" s="2" t="s">
        <v>1036</v>
      </c>
      <c r="H283" s="32" t="n">
        <v>157</v>
      </c>
      <c r="I283" s="32" t="n">
        <v>157</v>
      </c>
      <c r="J283" s="33" t="n">
        <v>0.03</v>
      </c>
      <c r="K283" s="32" t="n">
        <v>4.71</v>
      </c>
      <c r="L283" s="12" t="n">
        <f aca="false">ROUND(I283*J283,2)</f>
        <v>4.71</v>
      </c>
      <c r="M283" s="12" t="n">
        <f aca="false">K283-L283</f>
        <v>0</v>
      </c>
      <c r="N283" s="12" t="n">
        <f aca="false">IF(F283="Promotional Incentive",0,I283)</f>
        <v>0</v>
      </c>
      <c r="O283" s="21" t="n">
        <f aca="false">IF(F283="Promotional Incentive",0,K283)</f>
        <v>0</v>
      </c>
      <c r="P283" s="11" t="s">
        <v>645</v>
      </c>
      <c r="Q283" s="2"/>
    </row>
    <row r="284" customFormat="false" ht="15" hidden="false" customHeight="false" outlineLevel="0" collapsed="false">
      <c r="A284" s="2" t="s">
        <v>1115</v>
      </c>
      <c r="B284" s="2" t="s">
        <v>37</v>
      </c>
      <c r="C284" s="2" t="s">
        <v>40</v>
      </c>
      <c r="D284" s="2" t="s">
        <v>434</v>
      </c>
      <c r="E284" s="2" t="s">
        <v>433</v>
      </c>
      <c r="F284" s="2" t="s">
        <v>1077</v>
      </c>
      <c r="G284" s="2" t="s">
        <v>1041</v>
      </c>
      <c r="H284" s="32" t="n">
        <v>-3162</v>
      </c>
      <c r="I284" s="32" t="n">
        <v>-3162</v>
      </c>
      <c r="J284" s="33" t="n">
        <v>0.1</v>
      </c>
      <c r="K284" s="32" t="n">
        <v>-316.2</v>
      </c>
      <c r="L284" s="12" t="n">
        <f aca="false">ROUND(I284*J284,2)</f>
        <v>-316.2</v>
      </c>
      <c r="M284" s="12" t="n">
        <f aca="false">K284-L284</f>
        <v>0</v>
      </c>
      <c r="N284" s="12" t="n">
        <f aca="false">IF(F284="Promotional Incentive",0,I284)</f>
        <v>-3162</v>
      </c>
      <c r="O284" s="12" t="n">
        <f aca="false">IF(F284="Promotional Incentive",0,K284)</f>
        <v>-316.2</v>
      </c>
      <c r="P284" s="11" t="s">
        <v>645</v>
      </c>
      <c r="Q284" s="2"/>
    </row>
    <row r="285" customFormat="false" ht="15" hidden="false" customHeight="false" outlineLevel="0" collapsed="false">
      <c r="A285" s="2" t="s">
        <v>1115</v>
      </c>
      <c r="B285" s="2" t="s">
        <v>37</v>
      </c>
      <c r="C285" s="2" t="s">
        <v>40</v>
      </c>
      <c r="D285" s="2" t="s">
        <v>434</v>
      </c>
      <c r="E285" s="2" t="s">
        <v>433</v>
      </c>
      <c r="F285" s="19" t="s">
        <v>511</v>
      </c>
      <c r="G285" s="2" t="s">
        <v>1041</v>
      </c>
      <c r="H285" s="32" t="n">
        <v>-3162</v>
      </c>
      <c r="I285" s="32" t="n">
        <v>-3162</v>
      </c>
      <c r="J285" s="33" t="n">
        <v>0.03</v>
      </c>
      <c r="K285" s="32" t="n">
        <v>-94.86</v>
      </c>
      <c r="L285" s="12" t="n">
        <f aca="false">ROUND(I285*J285,2)</f>
        <v>-94.86</v>
      </c>
      <c r="M285" s="12" t="n">
        <f aca="false">K285-L285</f>
        <v>0</v>
      </c>
      <c r="N285" s="12" t="n">
        <f aca="false">IF(F285="Promotional Incentive",0,I285)</f>
        <v>0</v>
      </c>
      <c r="O285" s="21" t="n">
        <f aca="false">IF(F285="Promotional Incentive",0,K285)</f>
        <v>0</v>
      </c>
      <c r="P285" s="11" t="s">
        <v>645</v>
      </c>
      <c r="Q285" s="2"/>
    </row>
    <row r="286" customFormat="false" ht="15" hidden="false" customHeight="false" outlineLevel="0" collapsed="false">
      <c r="A286" s="2" t="s">
        <v>1116</v>
      </c>
      <c r="B286" s="2" t="s">
        <v>37</v>
      </c>
      <c r="C286" s="2" t="s">
        <v>40</v>
      </c>
      <c r="D286" s="2" t="s">
        <v>437</v>
      </c>
      <c r="E286" s="2" t="s">
        <v>1117</v>
      </c>
      <c r="F286" s="2" t="s">
        <v>644</v>
      </c>
      <c r="G286" s="2" t="s">
        <v>1118</v>
      </c>
      <c r="H286" s="32" t="n">
        <v>86</v>
      </c>
      <c r="I286" s="32" t="n">
        <v>86</v>
      </c>
      <c r="J286" s="33" t="n">
        <v>0.1</v>
      </c>
      <c r="K286" s="32" t="n">
        <v>8.6</v>
      </c>
      <c r="L286" s="12" t="n">
        <f aca="false">ROUND(I286*J286,2)</f>
        <v>8.6</v>
      </c>
      <c r="M286" s="12" t="n">
        <f aca="false">K286-L286</f>
        <v>0</v>
      </c>
      <c r="N286" s="12" t="n">
        <f aca="false">IF(F286="Promotional Incentive",0,I286)</f>
        <v>86</v>
      </c>
      <c r="O286" s="12" t="n">
        <f aca="false">IF(F286="Promotional Incentive",0,K286)</f>
        <v>8.6</v>
      </c>
      <c r="P286" s="11" t="s">
        <v>645</v>
      </c>
      <c r="Q286" s="2"/>
    </row>
    <row r="287" customFormat="false" ht="15" hidden="false" customHeight="false" outlineLevel="0" collapsed="false">
      <c r="A287" s="2" t="s">
        <v>1116</v>
      </c>
      <c r="B287" s="2" t="s">
        <v>37</v>
      </c>
      <c r="C287" s="2" t="s">
        <v>40</v>
      </c>
      <c r="D287" s="2" t="s">
        <v>437</v>
      </c>
      <c r="E287" s="2" t="s">
        <v>1117</v>
      </c>
      <c r="F287" s="19" t="s">
        <v>511</v>
      </c>
      <c r="G287" s="2" t="s">
        <v>1118</v>
      </c>
      <c r="H287" s="32" t="n">
        <v>86</v>
      </c>
      <c r="I287" s="32" t="n">
        <v>86</v>
      </c>
      <c r="J287" s="33" t="n">
        <v>0.03</v>
      </c>
      <c r="K287" s="32" t="n">
        <v>2.58</v>
      </c>
      <c r="L287" s="12" t="n">
        <f aca="false">ROUND(I287*J287,2)</f>
        <v>2.58</v>
      </c>
      <c r="M287" s="12" t="n">
        <f aca="false">K287-L287</f>
        <v>0</v>
      </c>
      <c r="N287" s="12" t="n">
        <f aca="false">IF(F287="Promotional Incentive",0,I287)</f>
        <v>0</v>
      </c>
      <c r="O287" s="21" t="n">
        <f aca="false">IF(F287="Promotional Incentive",0,K287)</f>
        <v>0</v>
      </c>
      <c r="P287" s="11" t="s">
        <v>645</v>
      </c>
      <c r="Q287" s="2"/>
    </row>
    <row r="288" customFormat="false" ht="15" hidden="false" customHeight="false" outlineLevel="0" collapsed="false">
      <c r="A288" s="2" t="s">
        <v>1119</v>
      </c>
      <c r="B288" s="2" t="s">
        <v>37</v>
      </c>
      <c r="C288" s="2" t="s">
        <v>40</v>
      </c>
      <c r="D288" s="2" t="s">
        <v>440</v>
      </c>
      <c r="E288" s="2" t="s">
        <v>1120</v>
      </c>
      <c r="F288" s="2" t="s">
        <v>644</v>
      </c>
      <c r="G288" s="2" t="s">
        <v>1121</v>
      </c>
      <c r="H288" s="32" t="n">
        <v>111</v>
      </c>
      <c r="I288" s="32" t="n">
        <v>111</v>
      </c>
      <c r="J288" s="33" t="n">
        <v>0.1</v>
      </c>
      <c r="K288" s="32" t="n">
        <v>11.1</v>
      </c>
      <c r="L288" s="12" t="n">
        <f aca="false">ROUND(I288*J288,2)</f>
        <v>11.1</v>
      </c>
      <c r="M288" s="12" t="n">
        <f aca="false">K288-L288</f>
        <v>0</v>
      </c>
      <c r="N288" s="12" t="n">
        <f aca="false">IF(F288="Promotional Incentive",0,I288)</f>
        <v>111</v>
      </c>
      <c r="O288" s="12" t="n">
        <f aca="false">IF(F288="Promotional Incentive",0,K288)</f>
        <v>11.1</v>
      </c>
      <c r="P288" s="11" t="s">
        <v>645</v>
      </c>
      <c r="Q288" s="2"/>
    </row>
    <row r="289" customFormat="false" ht="15" hidden="false" customHeight="false" outlineLevel="0" collapsed="false">
      <c r="A289" s="2" t="s">
        <v>1119</v>
      </c>
      <c r="B289" s="2" t="s">
        <v>37</v>
      </c>
      <c r="C289" s="2" t="s">
        <v>40</v>
      </c>
      <c r="D289" s="2" t="s">
        <v>440</v>
      </c>
      <c r="E289" s="2" t="s">
        <v>1120</v>
      </c>
      <c r="F289" s="19" t="s">
        <v>511</v>
      </c>
      <c r="G289" s="2" t="s">
        <v>1121</v>
      </c>
      <c r="H289" s="32" t="n">
        <v>111</v>
      </c>
      <c r="I289" s="32" t="n">
        <v>111</v>
      </c>
      <c r="J289" s="33" t="n">
        <v>0.03</v>
      </c>
      <c r="K289" s="32" t="n">
        <v>3.33</v>
      </c>
      <c r="L289" s="12" t="n">
        <f aca="false">ROUND(I289*J289,2)</f>
        <v>3.33</v>
      </c>
      <c r="M289" s="12" t="n">
        <f aca="false">K289-L289</f>
        <v>0</v>
      </c>
      <c r="N289" s="12" t="n">
        <f aca="false">IF(F289="Promotional Incentive",0,I289)</f>
        <v>0</v>
      </c>
      <c r="O289" s="21" t="n">
        <f aca="false">IF(F289="Promotional Incentive",0,K289)</f>
        <v>0</v>
      </c>
      <c r="P289" s="11" t="s">
        <v>645</v>
      </c>
      <c r="Q289" s="2"/>
    </row>
    <row r="290" customFormat="false" ht="15" hidden="false" customHeight="false" outlineLevel="0" collapsed="false">
      <c r="A290" s="2" t="s">
        <v>1119</v>
      </c>
      <c r="B290" s="2" t="s">
        <v>37</v>
      </c>
      <c r="C290" s="2" t="s">
        <v>40</v>
      </c>
      <c r="D290" s="2" t="s">
        <v>440</v>
      </c>
      <c r="E290" s="2" t="s">
        <v>1120</v>
      </c>
      <c r="F290" s="2" t="s">
        <v>1077</v>
      </c>
      <c r="G290" s="2" t="s">
        <v>1122</v>
      </c>
      <c r="H290" s="32" t="n">
        <v>-2869</v>
      </c>
      <c r="I290" s="32" t="n">
        <v>-2869</v>
      </c>
      <c r="J290" s="33" t="n">
        <v>0.1</v>
      </c>
      <c r="K290" s="32" t="n">
        <v>-286.9</v>
      </c>
      <c r="L290" s="12" t="n">
        <f aca="false">ROUND(I290*J290,2)</f>
        <v>-286.9</v>
      </c>
      <c r="M290" s="12" t="n">
        <f aca="false">K290-L290</f>
        <v>0</v>
      </c>
      <c r="N290" s="12" t="n">
        <f aca="false">IF(F290="Promotional Incentive",0,I290)</f>
        <v>-2869</v>
      </c>
      <c r="O290" s="12" t="n">
        <f aca="false">IF(F290="Promotional Incentive",0,K290)</f>
        <v>-286.9</v>
      </c>
      <c r="P290" s="11" t="s">
        <v>645</v>
      </c>
      <c r="Q290" s="2"/>
    </row>
    <row r="291" customFormat="false" ht="15" hidden="false" customHeight="false" outlineLevel="0" collapsed="false">
      <c r="A291" s="2" t="s">
        <v>1119</v>
      </c>
      <c r="B291" s="2" t="s">
        <v>37</v>
      </c>
      <c r="C291" s="2" t="s">
        <v>40</v>
      </c>
      <c r="D291" s="2" t="s">
        <v>440</v>
      </c>
      <c r="E291" s="2" t="s">
        <v>1120</v>
      </c>
      <c r="F291" s="19" t="s">
        <v>511</v>
      </c>
      <c r="G291" s="2" t="s">
        <v>1122</v>
      </c>
      <c r="H291" s="32" t="n">
        <v>-2869</v>
      </c>
      <c r="I291" s="32" t="n">
        <v>-2869</v>
      </c>
      <c r="J291" s="33" t="n">
        <v>0.03</v>
      </c>
      <c r="K291" s="32" t="n">
        <v>-86.07</v>
      </c>
      <c r="L291" s="12" t="n">
        <f aca="false">ROUND(I291*J291,2)</f>
        <v>-86.07</v>
      </c>
      <c r="M291" s="12" t="n">
        <f aca="false">K291-L291</f>
        <v>0</v>
      </c>
      <c r="N291" s="12" t="n">
        <f aca="false">IF(F291="Promotional Incentive",0,I291)</f>
        <v>0</v>
      </c>
      <c r="O291" s="21" t="n">
        <f aca="false">IF(F291="Promotional Incentive",0,K291)</f>
        <v>0</v>
      </c>
      <c r="P291" s="11" t="s">
        <v>645</v>
      </c>
      <c r="Q291" s="2"/>
    </row>
    <row r="292" customFormat="false" ht="15" hidden="false" customHeight="false" outlineLevel="0" collapsed="false">
      <c r="A292" s="2" t="s">
        <v>1123</v>
      </c>
      <c r="B292" s="2" t="s">
        <v>37</v>
      </c>
      <c r="C292" s="2" t="s">
        <v>40</v>
      </c>
      <c r="D292" s="2" t="s">
        <v>443</v>
      </c>
      <c r="E292" s="2" t="s">
        <v>1124</v>
      </c>
      <c r="F292" s="2" t="s">
        <v>644</v>
      </c>
      <c r="G292" s="2" t="s">
        <v>1121</v>
      </c>
      <c r="H292" s="32" t="n">
        <v>0</v>
      </c>
      <c r="I292" s="32" t="n">
        <v>0</v>
      </c>
      <c r="J292" s="33" t="n">
        <v>0.1</v>
      </c>
      <c r="K292" s="32" t="n">
        <v>0</v>
      </c>
      <c r="L292" s="12" t="n">
        <f aca="false">ROUND(I292*J292,2)</f>
        <v>0</v>
      </c>
      <c r="M292" s="12" t="n">
        <f aca="false">K292-L292</f>
        <v>-0</v>
      </c>
      <c r="N292" s="12" t="n">
        <f aca="false">IF(F292="Promotional Incentive",0,I292)</f>
        <v>0</v>
      </c>
      <c r="O292" s="12" t="n">
        <f aca="false">IF(F292="Promotional Incentive",0,K292)</f>
        <v>-0</v>
      </c>
      <c r="P292" s="11" t="s">
        <v>645</v>
      </c>
      <c r="Q292" s="2"/>
    </row>
    <row r="293" customFormat="false" ht="15" hidden="false" customHeight="false" outlineLevel="0" collapsed="false">
      <c r="A293" s="2" t="s">
        <v>1123</v>
      </c>
      <c r="B293" s="2" t="s">
        <v>37</v>
      </c>
      <c r="C293" s="2" t="s">
        <v>40</v>
      </c>
      <c r="D293" s="2" t="s">
        <v>443</v>
      </c>
      <c r="E293" s="2" t="s">
        <v>1124</v>
      </c>
      <c r="F293" s="19" t="s">
        <v>511</v>
      </c>
      <c r="G293" s="2" t="s">
        <v>1121</v>
      </c>
      <c r="H293" s="32" t="n">
        <v>0</v>
      </c>
      <c r="I293" s="32" t="n">
        <v>0</v>
      </c>
      <c r="J293" s="33" t="n">
        <v>0.03</v>
      </c>
      <c r="K293" s="32" t="n">
        <v>0</v>
      </c>
      <c r="L293" s="12" t="n">
        <f aca="false">ROUND(I293*J293,2)</f>
        <v>0</v>
      </c>
      <c r="M293" s="12" t="n">
        <f aca="false">K293-L293</f>
        <v>-0</v>
      </c>
      <c r="N293" s="12" t="n">
        <f aca="false">IF(F293="Promotional Incentive",0,I293)</f>
        <v>0</v>
      </c>
      <c r="O293" s="21" t="n">
        <f aca="false">IF(F293="Promotional Incentive",0,K293)</f>
        <v>0</v>
      </c>
      <c r="P293" s="11" t="s">
        <v>645</v>
      </c>
      <c r="Q293" s="2"/>
    </row>
    <row r="294" customFormat="false" ht="15" hidden="false" customHeight="false" outlineLevel="0" collapsed="false">
      <c r="A294" s="2" t="s">
        <v>1123</v>
      </c>
      <c r="B294" s="2" t="s">
        <v>37</v>
      </c>
      <c r="C294" s="2" t="s">
        <v>40</v>
      </c>
      <c r="D294" s="2" t="s">
        <v>443</v>
      </c>
      <c r="E294" s="2" t="s">
        <v>1124</v>
      </c>
      <c r="F294" s="2" t="s">
        <v>644</v>
      </c>
      <c r="G294" s="2" t="s">
        <v>1125</v>
      </c>
      <c r="H294" s="32" t="n">
        <v>37</v>
      </c>
      <c r="I294" s="32" t="n">
        <v>37</v>
      </c>
      <c r="J294" s="33" t="n">
        <v>0.1</v>
      </c>
      <c r="K294" s="32" t="n">
        <v>3.7</v>
      </c>
      <c r="L294" s="12" t="n">
        <f aca="false">ROUND(I294*J294,2)</f>
        <v>3.7</v>
      </c>
      <c r="M294" s="12" t="n">
        <f aca="false">K294-L294</f>
        <v>0</v>
      </c>
      <c r="N294" s="12" t="n">
        <f aca="false">IF(F294="Promotional Incentive",0,I294)</f>
        <v>37</v>
      </c>
      <c r="O294" s="12" t="n">
        <f aca="false">IF(F294="Promotional Incentive",0,K294)</f>
        <v>3.7</v>
      </c>
      <c r="P294" s="11" t="s">
        <v>645</v>
      </c>
      <c r="Q294" s="2"/>
    </row>
    <row r="295" customFormat="false" ht="15" hidden="false" customHeight="false" outlineLevel="0" collapsed="false">
      <c r="A295" s="2" t="s">
        <v>1123</v>
      </c>
      <c r="B295" s="2" t="s">
        <v>37</v>
      </c>
      <c r="C295" s="2" t="s">
        <v>40</v>
      </c>
      <c r="D295" s="2" t="s">
        <v>443</v>
      </c>
      <c r="E295" s="2" t="s">
        <v>1124</v>
      </c>
      <c r="F295" s="19" t="s">
        <v>511</v>
      </c>
      <c r="G295" s="2" t="s">
        <v>1125</v>
      </c>
      <c r="H295" s="32" t="n">
        <v>37</v>
      </c>
      <c r="I295" s="32" t="n">
        <v>37</v>
      </c>
      <c r="J295" s="33" t="n">
        <v>0.03</v>
      </c>
      <c r="K295" s="32" t="n">
        <v>1.11</v>
      </c>
      <c r="L295" s="12" t="n">
        <f aca="false">ROUND(I295*J295,2)</f>
        <v>1.11</v>
      </c>
      <c r="M295" s="12" t="n">
        <f aca="false">K295-L295</f>
        <v>0</v>
      </c>
      <c r="N295" s="12" t="n">
        <f aca="false">IF(F295="Promotional Incentive",0,I295)</f>
        <v>0</v>
      </c>
      <c r="O295" s="21" t="n">
        <f aca="false">IF(F295="Promotional Incentive",0,K295)</f>
        <v>0</v>
      </c>
      <c r="P295" s="11" t="s">
        <v>645</v>
      </c>
      <c r="Q295" s="2"/>
    </row>
    <row r="296" customFormat="false" ht="15" hidden="false" customHeight="false" outlineLevel="0" collapsed="false">
      <c r="A296" s="2" t="s">
        <v>1123</v>
      </c>
      <c r="B296" s="2" t="s">
        <v>37</v>
      </c>
      <c r="C296" s="2" t="s">
        <v>40</v>
      </c>
      <c r="D296" s="2" t="s">
        <v>443</v>
      </c>
      <c r="E296" s="2" t="s">
        <v>1124</v>
      </c>
      <c r="F296" s="2" t="s">
        <v>1077</v>
      </c>
      <c r="G296" s="2" t="s">
        <v>1041</v>
      </c>
      <c r="H296" s="32" t="n">
        <v>-1272</v>
      </c>
      <c r="I296" s="32" t="n">
        <v>-1272</v>
      </c>
      <c r="J296" s="33" t="n">
        <v>0.1</v>
      </c>
      <c r="K296" s="32" t="n">
        <v>-127.2</v>
      </c>
      <c r="L296" s="12" t="n">
        <f aca="false">ROUND(I296*J296,2)</f>
        <v>-127.2</v>
      </c>
      <c r="M296" s="12" t="n">
        <f aca="false">K296-L296</f>
        <v>0</v>
      </c>
      <c r="N296" s="12" t="n">
        <f aca="false">IF(F296="Promotional Incentive",0,I296)</f>
        <v>-1272</v>
      </c>
      <c r="O296" s="12" t="n">
        <f aca="false">IF(F296="Promotional Incentive",0,K296)</f>
        <v>-127.2</v>
      </c>
      <c r="P296" s="11" t="s">
        <v>645</v>
      </c>
      <c r="Q296" s="2"/>
    </row>
    <row r="297" customFormat="false" ht="15" hidden="false" customHeight="false" outlineLevel="0" collapsed="false">
      <c r="A297" s="2" t="s">
        <v>1123</v>
      </c>
      <c r="B297" s="2" t="s">
        <v>37</v>
      </c>
      <c r="C297" s="2" t="s">
        <v>40</v>
      </c>
      <c r="D297" s="2" t="s">
        <v>443</v>
      </c>
      <c r="E297" s="2" t="s">
        <v>1124</v>
      </c>
      <c r="F297" s="19" t="s">
        <v>511</v>
      </c>
      <c r="G297" s="2" t="s">
        <v>1041</v>
      </c>
      <c r="H297" s="32" t="n">
        <v>-1272</v>
      </c>
      <c r="I297" s="32" t="n">
        <v>-1272</v>
      </c>
      <c r="J297" s="33" t="n">
        <v>0.03</v>
      </c>
      <c r="K297" s="32" t="n">
        <v>-38.16</v>
      </c>
      <c r="L297" s="12" t="n">
        <f aca="false">ROUND(I297*J297,2)</f>
        <v>-38.16</v>
      </c>
      <c r="M297" s="12" t="n">
        <f aca="false">K297-L297</f>
        <v>0</v>
      </c>
      <c r="N297" s="12" t="n">
        <f aca="false">IF(F297="Promotional Incentive",0,I297)</f>
        <v>0</v>
      </c>
      <c r="O297" s="21" t="n">
        <f aca="false">IF(F297="Promotional Incentive",0,K297)</f>
        <v>0</v>
      </c>
      <c r="P297" s="11" t="s">
        <v>645</v>
      </c>
      <c r="Q297" s="2"/>
    </row>
    <row r="298" customFormat="false" ht="15" hidden="false" customHeight="false" outlineLevel="0" collapsed="false">
      <c r="A298" s="2" t="s">
        <v>1126</v>
      </c>
      <c r="B298" s="2" t="s">
        <v>37</v>
      </c>
      <c r="C298" s="2" t="s">
        <v>40</v>
      </c>
      <c r="D298" s="2" t="s">
        <v>1127</v>
      </c>
      <c r="E298" s="2" t="s">
        <v>1128</v>
      </c>
      <c r="F298" s="2" t="s">
        <v>1023</v>
      </c>
      <c r="G298" s="2" t="s">
        <v>513</v>
      </c>
      <c r="H298" s="32" t="n">
        <v>87.8</v>
      </c>
      <c r="I298" s="32" t="n">
        <v>87.8</v>
      </c>
      <c r="J298" s="33" t="n">
        <v>0.1</v>
      </c>
      <c r="K298" s="32" t="n">
        <v>8.78</v>
      </c>
      <c r="L298" s="12" t="n">
        <f aca="false">ROUND(I298*J298,2)</f>
        <v>8.78</v>
      </c>
      <c r="M298" s="12" t="n">
        <f aca="false">K298-L298</f>
        <v>0</v>
      </c>
      <c r="N298" s="12" t="n">
        <f aca="false">IF(F298="Promotional Incentive",0,I298)</f>
        <v>87.8</v>
      </c>
      <c r="O298" s="12" t="n">
        <f aca="false">IF(F298="Promotional Incentive",0,K298)</f>
        <v>8.78</v>
      </c>
      <c r="P298" s="11" t="s">
        <v>645</v>
      </c>
      <c r="Q298" s="2"/>
    </row>
    <row r="299" customFormat="false" ht="15" hidden="false" customHeight="false" outlineLevel="0" collapsed="false">
      <c r="A299" s="2" t="s">
        <v>1126</v>
      </c>
      <c r="B299" s="2" t="s">
        <v>37</v>
      </c>
      <c r="C299" s="2" t="s">
        <v>40</v>
      </c>
      <c r="D299" s="2" t="s">
        <v>1127</v>
      </c>
      <c r="E299" s="2" t="s">
        <v>1128</v>
      </c>
      <c r="F299" s="19" t="s">
        <v>511</v>
      </c>
      <c r="G299" s="2" t="s">
        <v>513</v>
      </c>
      <c r="H299" s="32" t="n">
        <v>87.8</v>
      </c>
      <c r="I299" s="32" t="n">
        <v>87.8</v>
      </c>
      <c r="J299" s="33" t="n">
        <v>0.03</v>
      </c>
      <c r="K299" s="32" t="n">
        <v>2.63</v>
      </c>
      <c r="L299" s="12" t="n">
        <f aca="false">ROUND(I299*J299,2)</f>
        <v>2.63</v>
      </c>
      <c r="M299" s="12" t="n">
        <f aca="false">K299-L299</f>
        <v>0</v>
      </c>
      <c r="N299" s="12" t="n">
        <f aca="false">IF(F299="Promotional Incentive",0,I299)</f>
        <v>0</v>
      </c>
      <c r="O299" s="21" t="n">
        <f aca="false">IF(F299="Promotional Incentive",0,K299)</f>
        <v>0</v>
      </c>
      <c r="P299" s="11" t="s">
        <v>645</v>
      </c>
      <c r="Q299" s="2"/>
    </row>
    <row r="300" customFormat="false" ht="15" hidden="false" customHeight="false" outlineLevel="0" collapsed="false">
      <c r="A300" s="2" t="s">
        <v>1129</v>
      </c>
      <c r="B300" s="2" t="s">
        <v>37</v>
      </c>
      <c r="C300" s="2" t="s">
        <v>40</v>
      </c>
      <c r="D300" s="2" t="s">
        <v>446</v>
      </c>
      <c r="E300" s="2" t="s">
        <v>1130</v>
      </c>
      <c r="F300" s="2" t="s">
        <v>1023</v>
      </c>
      <c r="G300" s="2" t="s">
        <v>513</v>
      </c>
      <c r="H300" s="32" t="n">
        <v>192</v>
      </c>
      <c r="I300" s="32" t="n">
        <v>192</v>
      </c>
      <c r="J300" s="33" t="n">
        <v>0.1</v>
      </c>
      <c r="K300" s="32" t="n">
        <v>19.2</v>
      </c>
      <c r="L300" s="12" t="n">
        <f aca="false">ROUND(I300*J300,2)</f>
        <v>19.2</v>
      </c>
      <c r="M300" s="12" t="n">
        <f aca="false">K300-L300</f>
        <v>0</v>
      </c>
      <c r="N300" s="12" t="n">
        <f aca="false">IF(F300="Promotional Incentive",0,I300)</f>
        <v>192</v>
      </c>
      <c r="O300" s="12" t="n">
        <f aca="false">IF(F300="Promotional Incentive",0,K300)</f>
        <v>19.2</v>
      </c>
      <c r="P300" s="11" t="s">
        <v>645</v>
      </c>
      <c r="Q300" s="2"/>
    </row>
    <row r="301" customFormat="false" ht="15" hidden="false" customHeight="false" outlineLevel="0" collapsed="false">
      <c r="A301" s="2" t="s">
        <v>1129</v>
      </c>
      <c r="B301" s="2" t="s">
        <v>37</v>
      </c>
      <c r="C301" s="2" t="s">
        <v>40</v>
      </c>
      <c r="D301" s="2" t="s">
        <v>446</v>
      </c>
      <c r="E301" s="2" t="s">
        <v>1130</v>
      </c>
      <c r="F301" s="19" t="s">
        <v>511</v>
      </c>
      <c r="G301" s="2" t="s">
        <v>513</v>
      </c>
      <c r="H301" s="32" t="n">
        <v>192</v>
      </c>
      <c r="I301" s="32" t="n">
        <v>192</v>
      </c>
      <c r="J301" s="33" t="n">
        <v>0.03</v>
      </c>
      <c r="K301" s="32" t="n">
        <v>5.76</v>
      </c>
      <c r="L301" s="12" t="n">
        <f aca="false">ROUND(I301*J301,2)</f>
        <v>5.76</v>
      </c>
      <c r="M301" s="12" t="n">
        <f aca="false">K301-L301</f>
        <v>0</v>
      </c>
      <c r="N301" s="12" t="n">
        <f aca="false">IF(F301="Promotional Incentive",0,I301)</f>
        <v>0</v>
      </c>
      <c r="O301" s="21" t="n">
        <f aca="false">IF(F301="Promotional Incentive",0,K301)</f>
        <v>0</v>
      </c>
      <c r="P301" s="11" t="s">
        <v>645</v>
      </c>
      <c r="Q301" s="2"/>
    </row>
    <row r="302" customFormat="false" ht="15" hidden="false" customHeight="false" outlineLevel="0" collapsed="false">
      <c r="A302" s="2" t="s">
        <v>1131</v>
      </c>
      <c r="B302" s="2" t="s">
        <v>37</v>
      </c>
      <c r="C302" s="2" t="s">
        <v>40</v>
      </c>
      <c r="D302" s="2" t="s">
        <v>449</v>
      </c>
      <c r="E302" s="2" t="s">
        <v>448</v>
      </c>
      <c r="F302" s="2" t="s">
        <v>1023</v>
      </c>
      <c r="G302" s="2" t="s">
        <v>513</v>
      </c>
      <c r="H302" s="32" t="n">
        <v>193</v>
      </c>
      <c r="I302" s="32" t="n">
        <v>193</v>
      </c>
      <c r="J302" s="33" t="n">
        <v>0.1</v>
      </c>
      <c r="K302" s="32" t="n">
        <v>19.3</v>
      </c>
      <c r="L302" s="12" t="n">
        <f aca="false">ROUND(I302*J302,2)</f>
        <v>19.3</v>
      </c>
      <c r="M302" s="12" t="n">
        <f aca="false">K302-L302</f>
        <v>0</v>
      </c>
      <c r="N302" s="12" t="n">
        <f aca="false">IF(F302="Promotional Incentive",0,I302)</f>
        <v>193</v>
      </c>
      <c r="O302" s="12" t="n">
        <f aca="false">IF(F302="Promotional Incentive",0,K302)</f>
        <v>19.3</v>
      </c>
      <c r="P302" s="11" t="s">
        <v>645</v>
      </c>
      <c r="Q302" s="2"/>
    </row>
    <row r="303" customFormat="false" ht="15" hidden="false" customHeight="false" outlineLevel="0" collapsed="false">
      <c r="A303" s="2" t="s">
        <v>1131</v>
      </c>
      <c r="B303" s="2" t="s">
        <v>37</v>
      </c>
      <c r="C303" s="2" t="s">
        <v>40</v>
      </c>
      <c r="D303" s="2" t="s">
        <v>449</v>
      </c>
      <c r="E303" s="2" t="s">
        <v>448</v>
      </c>
      <c r="F303" s="19" t="s">
        <v>511</v>
      </c>
      <c r="G303" s="2" t="s">
        <v>513</v>
      </c>
      <c r="H303" s="32" t="n">
        <v>193</v>
      </c>
      <c r="I303" s="32" t="n">
        <v>193</v>
      </c>
      <c r="J303" s="33" t="n">
        <v>0.03</v>
      </c>
      <c r="K303" s="32" t="n">
        <v>5.79</v>
      </c>
      <c r="L303" s="12" t="n">
        <f aca="false">ROUND(I303*J303,2)</f>
        <v>5.79</v>
      </c>
      <c r="M303" s="12" t="n">
        <f aca="false">K303-L303</f>
        <v>0</v>
      </c>
      <c r="N303" s="12" t="n">
        <f aca="false">IF(F303="Promotional Incentive",0,I303)</f>
        <v>0</v>
      </c>
      <c r="O303" s="21" t="n">
        <f aca="false">IF(F303="Promotional Incentive",0,K303)</f>
        <v>0</v>
      </c>
      <c r="P303" s="11" t="s">
        <v>645</v>
      </c>
      <c r="Q303" s="2"/>
    </row>
    <row r="304" customFormat="false" ht="15" hidden="false" customHeight="false" outlineLevel="0" collapsed="false">
      <c r="A304" s="2" t="s">
        <v>1132</v>
      </c>
      <c r="B304" s="2" t="s">
        <v>37</v>
      </c>
      <c r="C304" s="2" t="s">
        <v>40</v>
      </c>
      <c r="D304" s="2" t="s">
        <v>453</v>
      </c>
      <c r="E304" s="2" t="s">
        <v>1133</v>
      </c>
      <c r="F304" s="2" t="s">
        <v>1023</v>
      </c>
      <c r="G304" s="2" t="s">
        <v>513</v>
      </c>
      <c r="H304" s="32" t="n">
        <v>95.4</v>
      </c>
      <c r="I304" s="32" t="n">
        <v>95.4</v>
      </c>
      <c r="J304" s="33" t="n">
        <v>0.1</v>
      </c>
      <c r="K304" s="32" t="n">
        <v>9.54</v>
      </c>
      <c r="L304" s="12" t="n">
        <f aca="false">ROUND(I304*J304,2)</f>
        <v>9.54</v>
      </c>
      <c r="M304" s="12" t="n">
        <f aca="false">K304-L304</f>
        <v>0</v>
      </c>
      <c r="N304" s="12" t="n">
        <f aca="false">IF(F304="Promotional Incentive",0,I304)</f>
        <v>95.4</v>
      </c>
      <c r="O304" s="12" t="n">
        <f aca="false">IF(F304="Promotional Incentive",0,K304)</f>
        <v>9.54</v>
      </c>
      <c r="P304" s="11" t="s">
        <v>645</v>
      </c>
      <c r="Q304" s="2"/>
    </row>
    <row r="305" customFormat="false" ht="15" hidden="false" customHeight="false" outlineLevel="0" collapsed="false">
      <c r="A305" s="2" t="s">
        <v>1134</v>
      </c>
      <c r="B305" s="2" t="s">
        <v>37</v>
      </c>
      <c r="C305" s="2" t="s">
        <v>40</v>
      </c>
      <c r="D305" s="2" t="s">
        <v>456</v>
      </c>
      <c r="E305" s="2" t="s">
        <v>1135</v>
      </c>
      <c r="F305" s="2" t="s">
        <v>1023</v>
      </c>
      <c r="G305" s="2" t="s">
        <v>513</v>
      </c>
      <c r="H305" s="32" t="n">
        <v>54.1</v>
      </c>
      <c r="I305" s="32" t="n">
        <v>54.1</v>
      </c>
      <c r="J305" s="33" t="n">
        <v>0.1</v>
      </c>
      <c r="K305" s="32" t="n">
        <v>5.41</v>
      </c>
      <c r="L305" s="12" t="n">
        <f aca="false">ROUND(I305*J305,2)</f>
        <v>5.41</v>
      </c>
      <c r="M305" s="12" t="n">
        <f aca="false">K305-L305</f>
        <v>0</v>
      </c>
      <c r="N305" s="12" t="n">
        <f aca="false">IF(F305="Promotional Incentive",0,I305)</f>
        <v>54.1</v>
      </c>
      <c r="O305" s="12" t="n">
        <f aca="false">IF(F305="Promotional Incentive",0,K305)</f>
        <v>5.41</v>
      </c>
      <c r="P305" s="11" t="s">
        <v>645</v>
      </c>
      <c r="Q305" s="2"/>
    </row>
    <row r="306" customFormat="false" ht="15" hidden="false" customHeight="false" outlineLevel="0" collapsed="false">
      <c r="A306" s="2" t="s">
        <v>1134</v>
      </c>
      <c r="B306" s="2" t="s">
        <v>37</v>
      </c>
      <c r="C306" s="2" t="s">
        <v>40</v>
      </c>
      <c r="D306" s="2" t="s">
        <v>456</v>
      </c>
      <c r="E306" s="2" t="s">
        <v>1135</v>
      </c>
      <c r="F306" s="19" t="s">
        <v>511</v>
      </c>
      <c r="G306" s="2" t="s">
        <v>513</v>
      </c>
      <c r="H306" s="32" t="n">
        <v>54.1</v>
      </c>
      <c r="I306" s="32" t="n">
        <v>54.1</v>
      </c>
      <c r="J306" s="33" t="n">
        <v>0.03</v>
      </c>
      <c r="K306" s="32" t="n">
        <v>1.62</v>
      </c>
      <c r="L306" s="12" t="n">
        <f aca="false">ROUND(I306*J306,2)</f>
        <v>1.62</v>
      </c>
      <c r="M306" s="12" t="n">
        <f aca="false">K306-L306</f>
        <v>0</v>
      </c>
      <c r="N306" s="12" t="n">
        <f aca="false">IF(F306="Promotional Incentive",0,I306)</f>
        <v>0</v>
      </c>
      <c r="O306" s="21" t="n">
        <f aca="false">IF(F306="Promotional Incentive",0,K306)</f>
        <v>0</v>
      </c>
      <c r="P306" s="11" t="s">
        <v>645</v>
      </c>
      <c r="Q306" s="2"/>
    </row>
    <row r="307" customFormat="false" ht="15" hidden="false" customHeight="false" outlineLevel="0" collapsed="false">
      <c r="A307" s="2" t="s">
        <v>1136</v>
      </c>
      <c r="B307" s="2" t="s">
        <v>37</v>
      </c>
      <c r="C307" s="2" t="s">
        <v>40</v>
      </c>
      <c r="D307" s="2" t="s">
        <v>459</v>
      </c>
      <c r="E307" s="2" t="s">
        <v>458</v>
      </c>
      <c r="F307" s="2" t="s">
        <v>1023</v>
      </c>
      <c r="G307" s="2" t="s">
        <v>513</v>
      </c>
      <c r="H307" s="32" t="n">
        <v>116.4</v>
      </c>
      <c r="I307" s="32" t="n">
        <v>116.4</v>
      </c>
      <c r="J307" s="33" t="n">
        <v>0.1</v>
      </c>
      <c r="K307" s="32" t="n">
        <v>11.64</v>
      </c>
      <c r="L307" s="12" t="n">
        <f aca="false">ROUND(I307*J307,2)</f>
        <v>11.64</v>
      </c>
      <c r="M307" s="12" t="n">
        <f aca="false">K307-L307</f>
        <v>0</v>
      </c>
      <c r="N307" s="12" t="n">
        <f aca="false">IF(F307="Promotional Incentive",0,I307)</f>
        <v>116.4</v>
      </c>
      <c r="O307" s="12" t="n">
        <f aca="false">IF(F307="Promotional Incentive",0,K307)</f>
        <v>11.64</v>
      </c>
      <c r="P307" s="11" t="s">
        <v>645</v>
      </c>
      <c r="Q307" s="2"/>
    </row>
    <row r="308" customFormat="false" ht="15" hidden="false" customHeight="false" outlineLevel="0" collapsed="false">
      <c r="A308" s="2" t="s">
        <v>1136</v>
      </c>
      <c r="B308" s="2" t="s">
        <v>37</v>
      </c>
      <c r="C308" s="2" t="s">
        <v>40</v>
      </c>
      <c r="D308" s="2" t="s">
        <v>459</v>
      </c>
      <c r="E308" s="2" t="s">
        <v>458</v>
      </c>
      <c r="F308" s="19" t="s">
        <v>511</v>
      </c>
      <c r="G308" s="2" t="s">
        <v>513</v>
      </c>
      <c r="H308" s="32" t="n">
        <v>116.4</v>
      </c>
      <c r="I308" s="32" t="n">
        <v>116.4</v>
      </c>
      <c r="J308" s="33" t="n">
        <v>0.03</v>
      </c>
      <c r="K308" s="32" t="n">
        <v>3.49</v>
      </c>
      <c r="L308" s="12" t="n">
        <f aca="false">ROUND(I308*J308,2)</f>
        <v>3.49</v>
      </c>
      <c r="M308" s="12" t="n">
        <f aca="false">K308-L308</f>
        <v>0</v>
      </c>
      <c r="N308" s="12" t="n">
        <f aca="false">IF(F308="Promotional Incentive",0,I308)</f>
        <v>0</v>
      </c>
      <c r="O308" s="21" t="n">
        <f aca="false">IF(F308="Promotional Incentive",0,K308)</f>
        <v>0</v>
      </c>
      <c r="P308" s="11" t="s">
        <v>645</v>
      </c>
      <c r="Q308" s="2"/>
    </row>
    <row r="309" customFormat="false" ht="15" hidden="false" customHeight="false" outlineLevel="0" collapsed="false">
      <c r="A309" s="2" t="s">
        <v>1137</v>
      </c>
      <c r="B309" s="2" t="s">
        <v>37</v>
      </c>
      <c r="C309" s="2" t="s">
        <v>40</v>
      </c>
      <c r="D309" s="2" t="s">
        <v>1138</v>
      </c>
      <c r="E309" s="2" t="s">
        <v>1139</v>
      </c>
      <c r="F309" s="2" t="s">
        <v>1023</v>
      </c>
      <c r="G309" s="2" t="s">
        <v>513</v>
      </c>
      <c r="H309" s="32" t="n">
        <v>167.4</v>
      </c>
      <c r="I309" s="32" t="n">
        <v>167.4</v>
      </c>
      <c r="J309" s="33" t="n">
        <v>0.1</v>
      </c>
      <c r="K309" s="32" t="n">
        <v>16.74</v>
      </c>
      <c r="L309" s="12" t="n">
        <f aca="false">ROUND(I309*J309,2)</f>
        <v>16.74</v>
      </c>
      <c r="M309" s="12" t="n">
        <f aca="false">K309-L309</f>
        <v>0</v>
      </c>
      <c r="N309" s="12" t="n">
        <f aca="false">IF(F309="Promotional Incentive",0,I309)</f>
        <v>167.4</v>
      </c>
      <c r="O309" s="12" t="n">
        <f aca="false">IF(F309="Promotional Incentive",0,K309)</f>
        <v>16.74</v>
      </c>
      <c r="P309" s="11" t="s">
        <v>645</v>
      </c>
      <c r="Q309" s="2"/>
    </row>
    <row r="310" customFormat="false" ht="15" hidden="false" customHeight="false" outlineLevel="0" collapsed="false">
      <c r="A310" s="2" t="s">
        <v>1140</v>
      </c>
      <c r="B310" s="2" t="s">
        <v>37</v>
      </c>
      <c r="C310" s="2" t="s">
        <v>40</v>
      </c>
      <c r="D310" s="2" t="s">
        <v>462</v>
      </c>
      <c r="E310" s="2" t="s">
        <v>1141</v>
      </c>
      <c r="F310" s="2" t="s">
        <v>1023</v>
      </c>
      <c r="G310" s="2" t="s">
        <v>513</v>
      </c>
      <c r="H310" s="32" t="n">
        <v>177.3</v>
      </c>
      <c r="I310" s="32" t="n">
        <v>177.3</v>
      </c>
      <c r="J310" s="33" t="n">
        <v>0.1</v>
      </c>
      <c r="K310" s="32" t="n">
        <v>17.73</v>
      </c>
      <c r="L310" s="12" t="n">
        <f aca="false">ROUND(I310*J310,2)</f>
        <v>17.73</v>
      </c>
      <c r="M310" s="12" t="n">
        <f aca="false">K310-L310</f>
        <v>0</v>
      </c>
      <c r="N310" s="12" t="n">
        <f aca="false">IF(F310="Promotional Incentive",0,I310)</f>
        <v>177.3</v>
      </c>
      <c r="O310" s="12" t="n">
        <f aca="false">IF(F310="Promotional Incentive",0,K310)</f>
        <v>17.73</v>
      </c>
      <c r="P310" s="11" t="s">
        <v>645</v>
      </c>
      <c r="Q310" s="2"/>
    </row>
    <row r="311" customFormat="false" ht="15" hidden="false" customHeight="false" outlineLevel="0" collapsed="false">
      <c r="A311" s="2" t="s">
        <v>1142</v>
      </c>
      <c r="B311" s="2" t="s">
        <v>37</v>
      </c>
      <c r="C311" s="2" t="s">
        <v>40</v>
      </c>
      <c r="D311" s="2" t="s">
        <v>1143</v>
      </c>
      <c r="E311" s="2" t="s">
        <v>1144</v>
      </c>
      <c r="F311" s="2" t="s">
        <v>1023</v>
      </c>
      <c r="G311" s="2" t="s">
        <v>513</v>
      </c>
      <c r="H311" s="32" t="n">
        <v>300.8</v>
      </c>
      <c r="I311" s="32" t="n">
        <v>300.8</v>
      </c>
      <c r="J311" s="33" t="n">
        <v>0.1</v>
      </c>
      <c r="K311" s="32" t="n">
        <v>30.08</v>
      </c>
      <c r="L311" s="12" t="n">
        <f aca="false">ROUND(I311*J311,2)</f>
        <v>30.08</v>
      </c>
      <c r="M311" s="12" t="n">
        <f aca="false">K311-L311</f>
        <v>0</v>
      </c>
      <c r="N311" s="12" t="n">
        <f aca="false">IF(F311="Promotional Incentive",0,I311)</f>
        <v>300.8</v>
      </c>
      <c r="O311" s="12" t="n">
        <f aca="false">IF(F311="Promotional Incentive",0,K311)</f>
        <v>30.08</v>
      </c>
      <c r="P311" s="11" t="s">
        <v>645</v>
      </c>
      <c r="Q311" s="2"/>
    </row>
    <row r="312" customFormat="false" ht="15" hidden="false" customHeight="false" outlineLevel="0" collapsed="false">
      <c r="A312" s="2" t="s">
        <v>1142</v>
      </c>
      <c r="B312" s="2" t="s">
        <v>37</v>
      </c>
      <c r="C312" s="2" t="s">
        <v>40</v>
      </c>
      <c r="D312" s="2" t="s">
        <v>1143</v>
      </c>
      <c r="E312" s="2" t="s">
        <v>1144</v>
      </c>
      <c r="F312" s="19" t="s">
        <v>511</v>
      </c>
      <c r="G312" s="2" t="s">
        <v>513</v>
      </c>
      <c r="H312" s="32" t="n">
        <v>300.8</v>
      </c>
      <c r="I312" s="32" t="n">
        <v>300.8</v>
      </c>
      <c r="J312" s="33" t="n">
        <v>0.03</v>
      </c>
      <c r="K312" s="32" t="n">
        <v>9.02</v>
      </c>
      <c r="L312" s="12" t="n">
        <f aca="false">ROUND(I312*J312,2)</f>
        <v>9.02</v>
      </c>
      <c r="M312" s="12" t="n">
        <f aca="false">K312-L312</f>
        <v>0</v>
      </c>
      <c r="N312" s="12" t="n">
        <f aca="false">IF(F312="Promotional Incentive",0,I312)</f>
        <v>0</v>
      </c>
      <c r="O312" s="21" t="n">
        <f aca="false">IF(F312="Promotional Incentive",0,K312)</f>
        <v>0</v>
      </c>
      <c r="P312" s="11" t="s">
        <v>645</v>
      </c>
      <c r="Q312" s="2"/>
    </row>
    <row r="313" customFormat="false" ht="15" hidden="false" customHeight="false" outlineLevel="0" collapsed="false">
      <c r="A313" s="2" t="s">
        <v>1145</v>
      </c>
      <c r="B313" s="2" t="s">
        <v>37</v>
      </c>
      <c r="C313" s="2" t="s">
        <v>40</v>
      </c>
      <c r="D313" s="2" t="s">
        <v>1146</v>
      </c>
      <c r="E313" s="2" t="s">
        <v>1147</v>
      </c>
      <c r="F313" s="2" t="s">
        <v>1023</v>
      </c>
      <c r="G313" s="2" t="s">
        <v>513</v>
      </c>
      <c r="H313" s="32" t="n">
        <v>135.3</v>
      </c>
      <c r="I313" s="32" t="n">
        <v>135.3</v>
      </c>
      <c r="J313" s="33" t="n">
        <v>0.1</v>
      </c>
      <c r="K313" s="32" t="n">
        <v>13.53</v>
      </c>
      <c r="L313" s="12" t="n">
        <f aca="false">ROUND(I313*J313,2)</f>
        <v>13.53</v>
      </c>
      <c r="M313" s="12" t="n">
        <f aca="false">K313-L313</f>
        <v>0</v>
      </c>
      <c r="N313" s="12" t="n">
        <f aca="false">IF(F313="Promotional Incentive",0,I313)</f>
        <v>135.3</v>
      </c>
      <c r="O313" s="12" t="n">
        <f aca="false">IF(F313="Promotional Incentive",0,K313)</f>
        <v>13.53</v>
      </c>
      <c r="P313" s="11" t="s">
        <v>645</v>
      </c>
      <c r="Q313" s="2"/>
    </row>
    <row r="314" customFormat="false" ht="15" hidden="false" customHeight="false" outlineLevel="0" collapsed="false">
      <c r="A314" s="2" t="s">
        <v>1145</v>
      </c>
      <c r="B314" s="2" t="s">
        <v>37</v>
      </c>
      <c r="C314" s="2" t="s">
        <v>40</v>
      </c>
      <c r="D314" s="2" t="s">
        <v>1146</v>
      </c>
      <c r="E314" s="2" t="s">
        <v>1147</v>
      </c>
      <c r="F314" s="19" t="s">
        <v>511</v>
      </c>
      <c r="G314" s="2" t="s">
        <v>513</v>
      </c>
      <c r="H314" s="32" t="n">
        <v>135.3</v>
      </c>
      <c r="I314" s="32" t="n">
        <v>135.3</v>
      </c>
      <c r="J314" s="33" t="n">
        <v>0.03</v>
      </c>
      <c r="K314" s="32" t="n">
        <v>4.05</v>
      </c>
      <c r="L314" s="12" t="n">
        <f aca="false">ROUND(I314*J314,2)</f>
        <v>4.06</v>
      </c>
      <c r="M314" s="12" t="n">
        <f aca="false">K314-L314</f>
        <v>-0.00999999999999979</v>
      </c>
      <c r="N314" s="12" t="n">
        <f aca="false">IF(F314="Promotional Incentive",0,I314)</f>
        <v>0</v>
      </c>
      <c r="O314" s="21" t="n">
        <f aca="false">IF(F314="Promotional Incentive",0,K314)</f>
        <v>0</v>
      </c>
      <c r="P314" s="11" t="s">
        <v>645</v>
      </c>
      <c r="Q314" s="2"/>
    </row>
    <row r="315" customFormat="false" ht="15" hidden="false" customHeight="false" outlineLevel="0" collapsed="false">
      <c r="A315" s="27" t="s">
        <v>211</v>
      </c>
      <c r="B315" s="27" t="s">
        <v>208</v>
      </c>
      <c r="C315" s="27" t="s">
        <v>210</v>
      </c>
      <c r="D315" s="27" t="s">
        <v>209</v>
      </c>
      <c r="E315" s="27" t="s">
        <v>1148</v>
      </c>
      <c r="F315" s="27" t="s">
        <v>110</v>
      </c>
      <c r="G315" s="27" t="s">
        <v>523</v>
      </c>
      <c r="H315" s="28" t="n">
        <v>1188</v>
      </c>
      <c r="I315" s="28" t="n">
        <v>1153</v>
      </c>
      <c r="J315" s="29" t="n">
        <v>0.11</v>
      </c>
      <c r="K315" s="28" t="n">
        <v>126.83</v>
      </c>
      <c r="L315" s="30" t="n">
        <f aca="false">ROUND(I315*J315,2)</f>
        <v>126.83</v>
      </c>
      <c r="M315" s="30" t="n">
        <f aca="false">K315-L315</f>
        <v>0</v>
      </c>
      <c r="N315" s="30" t="n">
        <f aca="false">IF(F315="Promotional Incentive",0,I315)</f>
        <v>1153</v>
      </c>
      <c r="O315" s="30" t="n">
        <f aca="false">IF(F315="Promotional Incentive",0,K315)</f>
        <v>126.83</v>
      </c>
      <c r="P315" s="31" t="s">
        <v>596</v>
      </c>
      <c r="Q315" s="27" t="s">
        <v>207</v>
      </c>
    </row>
    <row r="316" customFormat="false" ht="15" hidden="false" customHeight="false" outlineLevel="0" collapsed="false">
      <c r="A316" s="27" t="s">
        <v>214</v>
      </c>
      <c r="B316" s="27" t="s">
        <v>208</v>
      </c>
      <c r="C316" s="27" t="s">
        <v>210</v>
      </c>
      <c r="D316" s="27" t="s">
        <v>213</v>
      </c>
      <c r="E316" s="27" t="s">
        <v>1149</v>
      </c>
      <c r="F316" s="27" t="s">
        <v>110</v>
      </c>
      <c r="G316" s="27" t="s">
        <v>630</v>
      </c>
      <c r="H316" s="28" t="n">
        <v>1176</v>
      </c>
      <c r="I316" s="28" t="n">
        <v>1141</v>
      </c>
      <c r="J316" s="29" t="n">
        <v>0.11</v>
      </c>
      <c r="K316" s="28" t="n">
        <v>125.51</v>
      </c>
      <c r="L316" s="30" t="n">
        <f aca="false">ROUND(I316*J316,2)</f>
        <v>125.51</v>
      </c>
      <c r="M316" s="30" t="n">
        <f aca="false">K316-L316</f>
        <v>0</v>
      </c>
      <c r="N316" s="30" t="n">
        <f aca="false">IF(F316="Promotional Incentive",0,I316)</f>
        <v>1141</v>
      </c>
      <c r="O316" s="30" t="n">
        <f aca="false">IF(F316="Promotional Incentive",0,K316)</f>
        <v>125.51</v>
      </c>
      <c r="P316" s="31" t="s">
        <v>596</v>
      </c>
      <c r="Q316" s="27" t="s">
        <v>212</v>
      </c>
    </row>
    <row r="317" customFormat="false" ht="15" hidden="false" customHeight="false" outlineLevel="0" collapsed="false">
      <c r="A317" s="2" t="s">
        <v>1150</v>
      </c>
      <c r="B317" s="2" t="s">
        <v>208</v>
      </c>
      <c r="C317" s="2" t="s">
        <v>210</v>
      </c>
      <c r="D317" s="2" t="s">
        <v>1151</v>
      </c>
      <c r="E317" s="2" t="s">
        <v>1152</v>
      </c>
      <c r="F317" s="2" t="s">
        <v>1153</v>
      </c>
      <c r="G317" s="2" t="s">
        <v>1154</v>
      </c>
      <c r="H317" s="32" t="n">
        <v>-555</v>
      </c>
      <c r="I317" s="32" t="n">
        <v>-555</v>
      </c>
      <c r="J317" s="33" t="n">
        <v>0.11</v>
      </c>
      <c r="K317" s="32" t="n">
        <v>-61.05</v>
      </c>
      <c r="L317" s="12" t="n">
        <f aca="false">ROUND(I317*J317,2)</f>
        <v>-61.05</v>
      </c>
      <c r="M317" s="12" t="n">
        <f aca="false">K317-L317</f>
        <v>0</v>
      </c>
      <c r="N317" s="12" t="n">
        <f aca="false">IF(F317="Promotional Incentive",0,I317)</f>
        <v>-555</v>
      </c>
      <c r="O317" s="12" t="n">
        <f aca="false">IF(F317="Promotional Incentive",0,K317)</f>
        <v>-61.05</v>
      </c>
      <c r="P317" s="11" t="s">
        <v>645</v>
      </c>
      <c r="Q317" s="2"/>
    </row>
    <row r="318" customFormat="false" ht="15" hidden="false" customHeight="false" outlineLevel="0" collapsed="false">
      <c r="A318" s="2" t="s">
        <v>1155</v>
      </c>
      <c r="B318" s="2" t="s">
        <v>208</v>
      </c>
      <c r="C318" s="2" t="s">
        <v>210</v>
      </c>
      <c r="D318" s="2" t="s">
        <v>1156</v>
      </c>
      <c r="E318" s="2" t="s">
        <v>1157</v>
      </c>
      <c r="F318" s="2" t="s">
        <v>110</v>
      </c>
      <c r="G318" s="2" t="s">
        <v>598</v>
      </c>
      <c r="H318" s="32" t="n">
        <v>1808</v>
      </c>
      <c r="I318" s="32" t="n">
        <v>1773</v>
      </c>
      <c r="J318" s="33" t="n">
        <v>0.11</v>
      </c>
      <c r="K318" s="32" t="n">
        <v>195.03</v>
      </c>
      <c r="L318" s="12" t="n">
        <f aca="false">ROUND(I318*J318,2)</f>
        <v>195.03</v>
      </c>
      <c r="M318" s="12" t="n">
        <f aca="false">K318-L318</f>
        <v>0</v>
      </c>
      <c r="N318" s="12" t="n">
        <f aca="false">IF(F318="Promotional Incentive",0,I318)</f>
        <v>1773</v>
      </c>
      <c r="O318" s="12" t="n">
        <f aca="false">IF(F318="Promotional Incentive",0,K318)</f>
        <v>195.03</v>
      </c>
      <c r="P318" s="11" t="s">
        <v>645</v>
      </c>
      <c r="Q318" s="2"/>
    </row>
    <row r="319" customFormat="false" ht="15" hidden="false" customHeight="false" outlineLevel="0" collapsed="false">
      <c r="A319" s="2" t="s">
        <v>1158</v>
      </c>
      <c r="B319" s="2" t="s">
        <v>208</v>
      </c>
      <c r="C319" s="2" t="s">
        <v>210</v>
      </c>
      <c r="D319" s="2" t="s">
        <v>465</v>
      </c>
      <c r="E319" s="2" t="s">
        <v>1159</v>
      </c>
      <c r="F319" s="2" t="s">
        <v>1153</v>
      </c>
      <c r="G319" s="2" t="s">
        <v>765</v>
      </c>
      <c r="H319" s="32" t="n">
        <v>-434</v>
      </c>
      <c r="I319" s="32" t="n">
        <v>-434</v>
      </c>
      <c r="J319" s="33" t="n">
        <v>0.13</v>
      </c>
      <c r="K319" s="32" t="n">
        <v>-56.42</v>
      </c>
      <c r="L319" s="12" t="n">
        <f aca="false">ROUND(I319*J319,2)</f>
        <v>-56.42</v>
      </c>
      <c r="M319" s="12" t="n">
        <f aca="false">K319-L319</f>
        <v>0</v>
      </c>
      <c r="N319" s="12" t="n">
        <f aca="false">IF(F319="Promotional Incentive",0,I319)</f>
        <v>-434</v>
      </c>
      <c r="O319" s="12" t="n">
        <f aca="false">IF(F319="Promotional Incentive",0,K319)</f>
        <v>-56.42</v>
      </c>
      <c r="P319" s="11" t="s">
        <v>645</v>
      </c>
      <c r="Q319" s="2"/>
    </row>
    <row r="320" customFormat="false" ht="15" hidden="false" customHeight="false" outlineLevel="0" collapsed="false">
      <c r="A320" s="2" t="s">
        <v>1158</v>
      </c>
      <c r="B320" s="2" t="s">
        <v>208</v>
      </c>
      <c r="C320" s="2" t="s">
        <v>210</v>
      </c>
      <c r="D320" s="2" t="s">
        <v>465</v>
      </c>
      <c r="E320" s="2" t="s">
        <v>1159</v>
      </c>
      <c r="F320" s="2" t="s">
        <v>1160</v>
      </c>
      <c r="G320" s="2" t="s">
        <v>765</v>
      </c>
      <c r="H320" s="32" t="n">
        <v>-28.42</v>
      </c>
      <c r="I320" s="32" t="n">
        <v>-28.42</v>
      </c>
      <c r="J320" s="33" t="n">
        <v>0.13</v>
      </c>
      <c r="K320" s="32" t="n">
        <v>-3.69</v>
      </c>
      <c r="L320" s="12" t="n">
        <f aca="false">ROUND(I320*J320,2)</f>
        <v>-3.69</v>
      </c>
      <c r="M320" s="12" t="n">
        <f aca="false">K320-L320</f>
        <v>0</v>
      </c>
      <c r="N320" s="12" t="n">
        <f aca="false">IF(F320="Promotional Incentive",0,I320)</f>
        <v>-28.42</v>
      </c>
      <c r="O320" s="12" t="n">
        <f aca="false">IF(F320="Promotional Incentive",0,K320)</f>
        <v>-3.69</v>
      </c>
      <c r="P320" s="11" t="s">
        <v>645</v>
      </c>
      <c r="Q320" s="2"/>
    </row>
    <row r="321" customFormat="false" ht="15" hidden="false" customHeight="false" outlineLevel="0" collapsed="false">
      <c r="A321" s="27" t="s">
        <v>240</v>
      </c>
      <c r="B321" s="27" t="s">
        <v>236</v>
      </c>
      <c r="C321" s="27" t="s">
        <v>238</v>
      </c>
      <c r="D321" s="27" t="s">
        <v>1161</v>
      </c>
      <c r="E321" s="27" t="s">
        <v>1162</v>
      </c>
      <c r="F321" s="27" t="s">
        <v>1163</v>
      </c>
      <c r="G321" s="27" t="s">
        <v>29</v>
      </c>
      <c r="H321" s="28" t="n">
        <v>401</v>
      </c>
      <c r="I321" s="28" t="n">
        <v>401</v>
      </c>
      <c r="J321" s="29" t="n">
        <v>0.1</v>
      </c>
      <c r="K321" s="28" t="n">
        <v>40.1</v>
      </c>
      <c r="L321" s="30" t="n">
        <f aca="false">ROUND(I321*J321,2)</f>
        <v>40.1</v>
      </c>
      <c r="M321" s="30" t="n">
        <f aca="false">K321-L321</f>
        <v>0</v>
      </c>
      <c r="N321" s="30" t="n">
        <f aca="false">IF(F321="Promotional Incentive",0,I321)</f>
        <v>401</v>
      </c>
      <c r="O321" s="30" t="n">
        <f aca="false">IF(F321="Promotional Incentive",0,K321)</f>
        <v>40.1</v>
      </c>
      <c r="P321" s="31" t="s">
        <v>596</v>
      </c>
      <c r="Q321" s="27" t="s">
        <v>235</v>
      </c>
    </row>
    <row r="322" customFormat="false" ht="15" hidden="false" customHeight="false" outlineLevel="0" collapsed="false">
      <c r="A322" s="27" t="s">
        <v>240</v>
      </c>
      <c r="B322" s="27" t="s">
        <v>236</v>
      </c>
      <c r="C322" s="27" t="s">
        <v>238</v>
      </c>
      <c r="D322" s="27" t="s">
        <v>1161</v>
      </c>
      <c r="E322" s="27" t="s">
        <v>1162</v>
      </c>
      <c r="F322" s="27" t="s">
        <v>644</v>
      </c>
      <c r="G322" s="27" t="s">
        <v>29</v>
      </c>
      <c r="H322" s="28" t="n">
        <v>650</v>
      </c>
      <c r="I322" s="28" t="n">
        <v>650</v>
      </c>
      <c r="J322" s="29" t="n">
        <v>0.1</v>
      </c>
      <c r="K322" s="28" t="n">
        <v>65</v>
      </c>
      <c r="L322" s="30" t="n">
        <f aca="false">ROUND(I322*J322,2)</f>
        <v>65</v>
      </c>
      <c r="M322" s="30" t="n">
        <f aca="false">K322-L322</f>
        <v>0</v>
      </c>
      <c r="N322" s="30" t="n">
        <f aca="false">IF(F322="Promotional Incentive",0,I322)</f>
        <v>650</v>
      </c>
      <c r="O322" s="30" t="n">
        <f aca="false">IF(F322="Promotional Incentive",0,K322)</f>
        <v>65</v>
      </c>
      <c r="P322" s="31" t="s">
        <v>596</v>
      </c>
      <c r="Q322" s="27" t="s">
        <v>235</v>
      </c>
    </row>
    <row r="323" customFormat="false" ht="15" hidden="false" customHeight="false" outlineLevel="0" collapsed="false">
      <c r="A323" s="27" t="s">
        <v>240</v>
      </c>
      <c r="B323" s="27" t="s">
        <v>236</v>
      </c>
      <c r="C323" s="27" t="s">
        <v>238</v>
      </c>
      <c r="D323" s="27" t="s">
        <v>1161</v>
      </c>
      <c r="E323" s="27" t="s">
        <v>1162</v>
      </c>
      <c r="F323" s="27" t="s">
        <v>644</v>
      </c>
      <c r="G323" s="27" t="s">
        <v>176</v>
      </c>
      <c r="H323" s="28" t="n">
        <v>-132</v>
      </c>
      <c r="I323" s="28" t="n">
        <v>-132</v>
      </c>
      <c r="J323" s="29" t="n">
        <v>0.1</v>
      </c>
      <c r="K323" s="28" t="n">
        <v>-13.2</v>
      </c>
      <c r="L323" s="30" t="n">
        <f aca="false">ROUND(I323*J323,2)</f>
        <v>-13.2</v>
      </c>
      <c r="M323" s="30" t="n">
        <f aca="false">K323-L323</f>
        <v>0</v>
      </c>
      <c r="N323" s="30" t="n">
        <f aca="false">IF(F323="Promotional Incentive",0,I323)</f>
        <v>-132</v>
      </c>
      <c r="O323" s="30" t="n">
        <f aca="false">IF(F323="Promotional Incentive",0,K323)</f>
        <v>-13.2</v>
      </c>
      <c r="P323" s="31" t="s">
        <v>596</v>
      </c>
      <c r="Q323" s="27" t="s">
        <v>235</v>
      </c>
    </row>
    <row r="324" customFormat="false" ht="15" hidden="false" customHeight="false" outlineLevel="0" collapsed="false">
      <c r="A324" s="27" t="s">
        <v>248</v>
      </c>
      <c r="B324" s="27" t="s">
        <v>236</v>
      </c>
      <c r="C324" s="27" t="s">
        <v>238</v>
      </c>
      <c r="D324" s="27" t="s">
        <v>1164</v>
      </c>
      <c r="E324" s="27" t="s">
        <v>1165</v>
      </c>
      <c r="F324" s="27" t="s">
        <v>1163</v>
      </c>
      <c r="G324" s="27" t="s">
        <v>60</v>
      </c>
      <c r="H324" s="28" t="n">
        <v>1415</v>
      </c>
      <c r="I324" s="28" t="n">
        <v>1415</v>
      </c>
      <c r="J324" s="29" t="n">
        <v>0.1</v>
      </c>
      <c r="K324" s="28" t="n">
        <v>141.5</v>
      </c>
      <c r="L324" s="30" t="n">
        <f aca="false">ROUND(I324*J324,2)</f>
        <v>141.5</v>
      </c>
      <c r="M324" s="30" t="n">
        <f aca="false">K324-L324</f>
        <v>0</v>
      </c>
      <c r="N324" s="30" t="n">
        <f aca="false">IF(F324="Promotional Incentive",0,I324)</f>
        <v>1415</v>
      </c>
      <c r="O324" s="30" t="n">
        <f aca="false">IF(F324="Promotional Incentive",0,K324)</f>
        <v>141.5</v>
      </c>
      <c r="P324" s="31" t="s">
        <v>596</v>
      </c>
      <c r="Q324" s="27" t="s">
        <v>246</v>
      </c>
    </row>
    <row r="325" customFormat="false" ht="15" hidden="false" customHeight="false" outlineLevel="0" collapsed="false">
      <c r="A325" s="2" t="s">
        <v>1166</v>
      </c>
      <c r="B325" s="2" t="s">
        <v>236</v>
      </c>
      <c r="C325" s="2" t="s">
        <v>238</v>
      </c>
      <c r="D325" s="2" t="s">
        <v>1167</v>
      </c>
      <c r="E325" s="2" t="s">
        <v>1168</v>
      </c>
      <c r="F325" s="2" t="s">
        <v>1163</v>
      </c>
      <c r="G325" s="2" t="s">
        <v>1169</v>
      </c>
      <c r="H325" s="32" t="n">
        <v>999</v>
      </c>
      <c r="I325" s="32" t="n">
        <v>999</v>
      </c>
      <c r="J325" s="33" t="n">
        <v>0.1</v>
      </c>
      <c r="K325" s="32" t="n">
        <v>99.9</v>
      </c>
      <c r="L325" s="12" t="n">
        <f aca="false">ROUND(I325*J325,2)</f>
        <v>99.9</v>
      </c>
      <c r="M325" s="12" t="n">
        <f aca="false">K325-L325</f>
        <v>0</v>
      </c>
      <c r="N325" s="12" t="n">
        <f aca="false">IF(F325="Promotional Incentive",0,I325)</f>
        <v>999</v>
      </c>
      <c r="O325" s="12" t="n">
        <f aca="false">IF(F325="Promotional Incentive",0,K325)</f>
        <v>99.9</v>
      </c>
      <c r="P325" s="11" t="s">
        <v>645</v>
      </c>
      <c r="Q325" s="2"/>
    </row>
    <row r="326" customFormat="false" ht="15" hidden="false" customHeight="false" outlineLevel="0" collapsed="false">
      <c r="A326" s="2" t="s">
        <v>1170</v>
      </c>
      <c r="B326" s="2" t="s">
        <v>236</v>
      </c>
      <c r="C326" s="2" t="s">
        <v>238</v>
      </c>
      <c r="D326" s="2" t="s">
        <v>1171</v>
      </c>
      <c r="E326" s="2" t="s">
        <v>1172</v>
      </c>
      <c r="F326" s="2" t="s">
        <v>1163</v>
      </c>
      <c r="G326" s="2" t="s">
        <v>202</v>
      </c>
      <c r="H326" s="32" t="n">
        <v>869</v>
      </c>
      <c r="I326" s="32" t="n">
        <v>869</v>
      </c>
      <c r="J326" s="33" t="n">
        <v>0.1</v>
      </c>
      <c r="K326" s="32" t="n">
        <v>86.9</v>
      </c>
      <c r="L326" s="12" t="n">
        <f aca="false">ROUND(I326*J326,2)</f>
        <v>86.9</v>
      </c>
      <c r="M326" s="12" t="n">
        <f aca="false">K326-L326</f>
        <v>0</v>
      </c>
      <c r="N326" s="12" t="n">
        <f aca="false">IF(F326="Promotional Incentive",0,I326)</f>
        <v>869</v>
      </c>
      <c r="O326" s="12" t="n">
        <f aca="false">IF(F326="Promotional Incentive",0,K326)</f>
        <v>86.9</v>
      </c>
      <c r="P326" s="11" t="s">
        <v>645</v>
      </c>
      <c r="Q326" s="2"/>
    </row>
    <row r="327" customFormat="false" ht="15" hidden="false" customHeight="false" outlineLevel="0" collapsed="false">
      <c r="A327" s="2" t="s">
        <v>1173</v>
      </c>
      <c r="B327" s="2" t="s">
        <v>236</v>
      </c>
      <c r="C327" s="2" t="s">
        <v>238</v>
      </c>
      <c r="D327" s="2" t="s">
        <v>468</v>
      </c>
      <c r="E327" s="2" t="s">
        <v>1174</v>
      </c>
      <c r="F327" s="2" t="s">
        <v>644</v>
      </c>
      <c r="G327" s="2" t="s">
        <v>46</v>
      </c>
      <c r="H327" s="32" t="n">
        <v>-42</v>
      </c>
      <c r="I327" s="32" t="n">
        <v>-42</v>
      </c>
      <c r="J327" s="33" t="n">
        <v>0.1</v>
      </c>
      <c r="K327" s="32" t="n">
        <v>-4.2</v>
      </c>
      <c r="L327" s="12" t="n">
        <f aca="false">ROUND(I327*J327,2)</f>
        <v>-4.2</v>
      </c>
      <c r="M327" s="12" t="n">
        <f aca="false">K327-L327</f>
        <v>0</v>
      </c>
      <c r="N327" s="12" t="n">
        <f aca="false">IF(F327="Promotional Incentive",0,I327)</f>
        <v>-42</v>
      </c>
      <c r="O327" s="12" t="n">
        <f aca="false">IF(F327="Promotional Incentive",0,K327)</f>
        <v>-4.2</v>
      </c>
      <c r="P327" s="11" t="s">
        <v>645</v>
      </c>
      <c r="Q327" s="2"/>
    </row>
    <row r="328" customFormat="false" ht="15" hidden="false" customHeight="false" outlineLevel="0" collapsed="false">
      <c r="A328" s="2" t="s">
        <v>1175</v>
      </c>
      <c r="B328" s="2" t="s">
        <v>236</v>
      </c>
      <c r="C328" s="2" t="s">
        <v>238</v>
      </c>
      <c r="D328" s="2" t="s">
        <v>471</v>
      </c>
      <c r="E328" s="2" t="s">
        <v>1176</v>
      </c>
      <c r="F328" s="2" t="s">
        <v>644</v>
      </c>
      <c r="G328" s="2" t="s">
        <v>89</v>
      </c>
      <c r="H328" s="32" t="n">
        <v>69</v>
      </c>
      <c r="I328" s="32" t="n">
        <v>69</v>
      </c>
      <c r="J328" s="33" t="n">
        <v>0.1</v>
      </c>
      <c r="K328" s="32" t="n">
        <v>6.9</v>
      </c>
      <c r="L328" s="12" t="n">
        <f aca="false">ROUND(I328*J328,2)</f>
        <v>6.9</v>
      </c>
      <c r="M328" s="12" t="n">
        <f aca="false">K328-L328</f>
        <v>0</v>
      </c>
      <c r="N328" s="12" t="n">
        <f aca="false">IF(F328="Promotional Incentive",0,I328)</f>
        <v>69</v>
      </c>
      <c r="O328" s="12" t="n">
        <f aca="false">IF(F328="Promotional Incentive",0,K328)</f>
        <v>6.9</v>
      </c>
      <c r="P328" s="11" t="s">
        <v>645</v>
      </c>
      <c r="Q328" s="2"/>
    </row>
    <row r="329" customFormat="false" ht="15" hidden="false" customHeight="false" outlineLevel="0" collapsed="false">
      <c r="A329" s="2" t="s">
        <v>1177</v>
      </c>
      <c r="B329" s="2" t="s">
        <v>236</v>
      </c>
      <c r="C329" s="2" t="s">
        <v>238</v>
      </c>
      <c r="D329" s="2" t="s">
        <v>1178</v>
      </c>
      <c r="E329" s="2" t="s">
        <v>1179</v>
      </c>
      <c r="F329" s="2" t="s">
        <v>1163</v>
      </c>
      <c r="G329" s="2" t="s">
        <v>29</v>
      </c>
      <c r="H329" s="32" t="n">
        <v>2103</v>
      </c>
      <c r="I329" s="32" t="n">
        <v>2103</v>
      </c>
      <c r="J329" s="33" t="n">
        <v>0.1</v>
      </c>
      <c r="K329" s="32" t="n">
        <v>210.3</v>
      </c>
      <c r="L329" s="12" t="n">
        <f aca="false">ROUND(I329*J329,2)</f>
        <v>210.3</v>
      </c>
      <c r="M329" s="12" t="n">
        <f aca="false">K329-L329</f>
        <v>0</v>
      </c>
      <c r="N329" s="12" t="n">
        <f aca="false">IF(F329="Promotional Incentive",0,I329)</f>
        <v>2103</v>
      </c>
      <c r="O329" s="12" t="n">
        <f aca="false">IF(F329="Promotional Incentive",0,K329)</f>
        <v>210.3</v>
      </c>
      <c r="P329" s="11" t="s">
        <v>645</v>
      </c>
      <c r="Q329" s="2"/>
    </row>
    <row r="330" customFormat="false" ht="15" hidden="false" customHeight="false" outlineLevel="0" collapsed="false">
      <c r="A330" s="2" t="s">
        <v>1180</v>
      </c>
      <c r="B330" s="2" t="s">
        <v>236</v>
      </c>
      <c r="C330" s="2" t="s">
        <v>238</v>
      </c>
      <c r="D330" s="2" t="s">
        <v>1181</v>
      </c>
      <c r="E330" s="2" t="s">
        <v>1182</v>
      </c>
      <c r="F330" s="2" t="s">
        <v>1163</v>
      </c>
      <c r="G330" s="2" t="s">
        <v>56</v>
      </c>
      <c r="H330" s="32" t="n">
        <v>1931</v>
      </c>
      <c r="I330" s="32" t="n">
        <v>1931</v>
      </c>
      <c r="J330" s="33" t="n">
        <v>0.1</v>
      </c>
      <c r="K330" s="32" t="n">
        <v>193.1</v>
      </c>
      <c r="L330" s="12" t="n">
        <f aca="false">ROUND(I330*J330,2)</f>
        <v>193.1</v>
      </c>
      <c r="M330" s="12" t="n">
        <f aca="false">K330-L330</f>
        <v>0</v>
      </c>
      <c r="N330" s="12" t="n">
        <f aca="false">IF(F330="Promotional Incentive",0,I330)</f>
        <v>1931</v>
      </c>
      <c r="O330" s="12" t="n">
        <f aca="false">IF(F330="Promotional Incentive",0,K330)</f>
        <v>193.1</v>
      </c>
      <c r="P330" s="11" t="s">
        <v>645</v>
      </c>
      <c r="Q330" s="2"/>
    </row>
    <row r="331" customFormat="false" ht="15" hidden="false" customHeight="false" outlineLevel="0" collapsed="false">
      <c r="A331" s="2" t="s">
        <v>1183</v>
      </c>
      <c r="B331" s="2" t="s">
        <v>236</v>
      </c>
      <c r="C331" s="2" t="s">
        <v>238</v>
      </c>
      <c r="D331" s="2" t="s">
        <v>475</v>
      </c>
      <c r="E331" s="2" t="s">
        <v>1184</v>
      </c>
      <c r="F331" s="2" t="s">
        <v>1160</v>
      </c>
      <c r="G331" s="2" t="s">
        <v>1185</v>
      </c>
      <c r="H331" s="32" t="n">
        <v>-57.3</v>
      </c>
      <c r="I331" s="32" t="n">
        <v>-57.3</v>
      </c>
      <c r="J331" s="33" t="n">
        <v>0.1</v>
      </c>
      <c r="K331" s="32" t="n">
        <v>-5.73</v>
      </c>
      <c r="L331" s="12" t="n">
        <f aca="false">ROUND(I331*J331,2)</f>
        <v>-5.73</v>
      </c>
      <c r="M331" s="12" t="n">
        <f aca="false">K331-L331</f>
        <v>0</v>
      </c>
      <c r="N331" s="12" t="n">
        <f aca="false">IF(F331="Promotional Incentive",0,I331)</f>
        <v>-57.3</v>
      </c>
      <c r="O331" s="12" t="n">
        <f aca="false">IF(F331="Promotional Incentive",0,K331)</f>
        <v>-5.73</v>
      </c>
      <c r="P331" s="11" t="s">
        <v>645</v>
      </c>
      <c r="Q331" s="2"/>
    </row>
    <row r="332" customFormat="false" ht="15" hidden="false" customHeight="false" outlineLevel="0" collapsed="false">
      <c r="A332" s="2" t="s">
        <v>1186</v>
      </c>
      <c r="B332" s="2" t="s">
        <v>236</v>
      </c>
      <c r="C332" s="2" t="s">
        <v>238</v>
      </c>
      <c r="D332" s="2" t="s">
        <v>478</v>
      </c>
      <c r="E332" s="2" t="s">
        <v>1187</v>
      </c>
      <c r="F332" s="2" t="s">
        <v>644</v>
      </c>
      <c r="G332" s="2" t="s">
        <v>71</v>
      </c>
      <c r="H332" s="32" t="n">
        <v>4</v>
      </c>
      <c r="I332" s="32" t="n">
        <v>4</v>
      </c>
      <c r="J332" s="33" t="n">
        <v>0.1</v>
      </c>
      <c r="K332" s="32" t="n">
        <v>0.4</v>
      </c>
      <c r="L332" s="12" t="n">
        <f aca="false">ROUND(I332*J332,2)</f>
        <v>0.4</v>
      </c>
      <c r="M332" s="12" t="n">
        <f aca="false">K332-L332</f>
        <v>0</v>
      </c>
      <c r="N332" s="12" t="n">
        <f aca="false">IF(F332="Promotional Incentive",0,I332)</f>
        <v>4</v>
      </c>
      <c r="O332" s="12" t="n">
        <f aca="false">IF(F332="Promotional Incentive",0,K332)</f>
        <v>0.4</v>
      </c>
      <c r="P332" s="11" t="s">
        <v>645</v>
      </c>
      <c r="Q332" s="2"/>
    </row>
    <row r="333" customFormat="false" ht="15" hidden="false" customHeight="false" outlineLevel="0" collapsed="false">
      <c r="A333" s="2" t="s">
        <v>1188</v>
      </c>
      <c r="B333" s="2" t="s">
        <v>236</v>
      </c>
      <c r="C333" s="2" t="s">
        <v>238</v>
      </c>
      <c r="D333" s="2" t="s">
        <v>481</v>
      </c>
      <c r="E333" s="2" t="s">
        <v>1189</v>
      </c>
      <c r="F333" s="2" t="s">
        <v>1190</v>
      </c>
      <c r="G333" s="2" t="s">
        <v>89</v>
      </c>
      <c r="H333" s="32" t="n">
        <v>-791</v>
      </c>
      <c r="I333" s="32" t="n">
        <v>-791</v>
      </c>
      <c r="J333" s="33" t="n">
        <v>0.1</v>
      </c>
      <c r="K333" s="32" t="n">
        <v>-79.1</v>
      </c>
      <c r="L333" s="12" t="n">
        <f aca="false">ROUND(I333*J333,2)</f>
        <v>-79.1</v>
      </c>
      <c r="M333" s="12" t="n">
        <f aca="false">K333-L333</f>
        <v>0</v>
      </c>
      <c r="N333" s="12" t="n">
        <f aca="false">IF(F333="Promotional Incentive",0,I333)</f>
        <v>-791</v>
      </c>
      <c r="O333" s="12" t="n">
        <f aca="false">IF(F333="Promotional Incentive",0,K333)</f>
        <v>-79.1</v>
      </c>
      <c r="P333" s="11" t="s">
        <v>645</v>
      </c>
      <c r="Q333" s="2"/>
    </row>
    <row r="334" customFormat="false" ht="15" hidden="false" customHeight="false" outlineLevel="0" collapsed="false">
      <c r="A334" s="2" t="s">
        <v>1191</v>
      </c>
      <c r="B334" s="2" t="s">
        <v>236</v>
      </c>
      <c r="C334" s="2" t="s">
        <v>238</v>
      </c>
      <c r="D334" s="2" t="s">
        <v>484</v>
      </c>
      <c r="E334" s="2" t="s">
        <v>1192</v>
      </c>
      <c r="F334" s="2" t="s">
        <v>644</v>
      </c>
      <c r="G334" s="2" t="s">
        <v>39</v>
      </c>
      <c r="H334" s="32" t="n">
        <v>312</v>
      </c>
      <c r="I334" s="32" t="n">
        <v>312</v>
      </c>
      <c r="J334" s="33" t="n">
        <v>0.1</v>
      </c>
      <c r="K334" s="32" t="n">
        <v>31.2</v>
      </c>
      <c r="L334" s="12" t="n">
        <f aca="false">ROUND(I334*J334,2)</f>
        <v>31.2</v>
      </c>
      <c r="M334" s="12" t="n">
        <f aca="false">K334-L334</f>
        <v>0</v>
      </c>
      <c r="N334" s="12" t="n">
        <f aca="false">IF(F334="Promotional Incentive",0,I334)</f>
        <v>312</v>
      </c>
      <c r="O334" s="12" t="n">
        <f aca="false">IF(F334="Promotional Incentive",0,K334)</f>
        <v>31.2</v>
      </c>
      <c r="P334" s="11" t="s">
        <v>645</v>
      </c>
      <c r="Q334" s="2"/>
    </row>
    <row r="335" customFormat="false" ht="15" hidden="false" customHeight="false" outlineLevel="0" collapsed="false">
      <c r="A335" s="2" t="s">
        <v>1193</v>
      </c>
      <c r="B335" s="2" t="s">
        <v>236</v>
      </c>
      <c r="C335" s="2" t="s">
        <v>238</v>
      </c>
      <c r="D335" s="2" t="s">
        <v>1194</v>
      </c>
      <c r="E335" s="2" t="s">
        <v>1195</v>
      </c>
      <c r="F335" s="2" t="s">
        <v>644</v>
      </c>
      <c r="G335" s="2" t="s">
        <v>176</v>
      </c>
      <c r="H335" s="32" t="n">
        <v>44</v>
      </c>
      <c r="I335" s="32" t="n">
        <v>44</v>
      </c>
      <c r="J335" s="33" t="n">
        <v>0.1</v>
      </c>
      <c r="K335" s="32" t="n">
        <v>4.4</v>
      </c>
      <c r="L335" s="12" t="n">
        <f aca="false">ROUND(I335*J335,2)</f>
        <v>4.4</v>
      </c>
      <c r="M335" s="12" t="n">
        <f aca="false">K335-L335</f>
        <v>0</v>
      </c>
      <c r="N335" s="12" t="n">
        <f aca="false">IF(F335="Promotional Incentive",0,I335)</f>
        <v>44</v>
      </c>
      <c r="O335" s="12" t="n">
        <f aca="false">IF(F335="Promotional Incentive",0,K335)</f>
        <v>4.4</v>
      </c>
      <c r="P335" s="11" t="s">
        <v>645</v>
      </c>
      <c r="Q335" s="2"/>
    </row>
    <row r="336" customFormat="false" ht="15" hidden="false" customHeight="false" outlineLevel="0" collapsed="false">
      <c r="A336" s="2" t="s">
        <v>1193</v>
      </c>
      <c r="B336" s="2" t="s">
        <v>236</v>
      </c>
      <c r="C336" s="2" t="s">
        <v>238</v>
      </c>
      <c r="D336" s="2" t="s">
        <v>1194</v>
      </c>
      <c r="E336" s="2" t="s">
        <v>1195</v>
      </c>
      <c r="F336" s="2" t="s">
        <v>1190</v>
      </c>
      <c r="G336" s="2" t="s">
        <v>257</v>
      </c>
      <c r="H336" s="32" t="n">
        <v>-802</v>
      </c>
      <c r="I336" s="32" t="n">
        <v>-802</v>
      </c>
      <c r="J336" s="33" t="n">
        <v>0.1</v>
      </c>
      <c r="K336" s="32" t="n">
        <v>-80.2</v>
      </c>
      <c r="L336" s="12" t="n">
        <f aca="false">ROUND(I336*J336,2)</f>
        <v>-80.2</v>
      </c>
      <c r="M336" s="12" t="n">
        <f aca="false">K336-L336</f>
        <v>0</v>
      </c>
      <c r="N336" s="12" t="n">
        <f aca="false">IF(F336="Promotional Incentive",0,I336)</f>
        <v>-802</v>
      </c>
      <c r="O336" s="12" t="n">
        <f aca="false">IF(F336="Promotional Incentive",0,K336)</f>
        <v>-80.2</v>
      </c>
      <c r="P336" s="11" t="s">
        <v>645</v>
      </c>
      <c r="Q336" s="2"/>
    </row>
    <row r="337" customFormat="false" ht="15" hidden="false" customHeight="false" outlineLevel="0" collapsed="false">
      <c r="A337" s="2" t="s">
        <v>1196</v>
      </c>
      <c r="B337" s="2" t="s">
        <v>236</v>
      </c>
      <c r="C337" s="2" t="s">
        <v>238</v>
      </c>
      <c r="D337" s="2" t="s">
        <v>487</v>
      </c>
      <c r="E337" s="2" t="s">
        <v>1197</v>
      </c>
      <c r="F337" s="2" t="s">
        <v>1190</v>
      </c>
      <c r="G337" s="2" t="s">
        <v>39</v>
      </c>
      <c r="H337" s="32" t="n">
        <v>-1517</v>
      </c>
      <c r="I337" s="32" t="n">
        <v>-1517</v>
      </c>
      <c r="J337" s="33" t="n">
        <v>0.1</v>
      </c>
      <c r="K337" s="32" t="n">
        <v>-151.7</v>
      </c>
      <c r="L337" s="12" t="n">
        <f aca="false">ROUND(I337*J337,2)</f>
        <v>-151.7</v>
      </c>
      <c r="M337" s="12" t="n">
        <f aca="false">K337-L337</f>
        <v>0</v>
      </c>
      <c r="N337" s="12" t="n">
        <f aca="false">IF(F337="Promotional Incentive",0,I337)</f>
        <v>-1517</v>
      </c>
      <c r="O337" s="12" t="n">
        <f aca="false">IF(F337="Promotional Incentive",0,K337)</f>
        <v>-151.7</v>
      </c>
      <c r="P337" s="11" t="s">
        <v>645</v>
      </c>
      <c r="Q337" s="2"/>
    </row>
    <row r="338" customFormat="false" ht="15" hidden="false" customHeight="false" outlineLevel="0" collapsed="false">
      <c r="A338" s="2" t="s">
        <v>1198</v>
      </c>
      <c r="B338" s="2" t="s">
        <v>236</v>
      </c>
      <c r="C338" s="2" t="s">
        <v>238</v>
      </c>
      <c r="D338" s="2" t="s">
        <v>1199</v>
      </c>
      <c r="E338" s="2" t="s">
        <v>1200</v>
      </c>
      <c r="F338" s="2" t="s">
        <v>25</v>
      </c>
      <c r="G338" s="2" t="s">
        <v>76</v>
      </c>
      <c r="H338" s="32" t="n">
        <v>3257</v>
      </c>
      <c r="I338" s="32" t="n">
        <v>3257</v>
      </c>
      <c r="J338" s="33" t="n">
        <v>0.1</v>
      </c>
      <c r="K338" s="32" t="n">
        <v>325.7</v>
      </c>
      <c r="L338" s="12" t="n">
        <f aca="false">ROUND(I338*J338,2)</f>
        <v>325.7</v>
      </c>
      <c r="M338" s="12" t="n">
        <f aca="false">K338-L338</f>
        <v>0</v>
      </c>
      <c r="N338" s="12" t="n">
        <f aca="false">IF(F338="Promotional Incentive",0,I338)</f>
        <v>3257</v>
      </c>
      <c r="O338" s="12" t="n">
        <f aca="false">IF(F338="Promotional Incentive",0,K338)</f>
        <v>325.7</v>
      </c>
      <c r="P338" s="11" t="s">
        <v>645</v>
      </c>
      <c r="Q338" s="2"/>
    </row>
    <row r="339" customFormat="false" ht="15" hidden="false" customHeight="false" outlineLevel="0" collapsed="false">
      <c r="A339" s="27" t="s">
        <v>258</v>
      </c>
      <c r="B339" s="27" t="s">
        <v>250</v>
      </c>
      <c r="C339" s="27" t="s">
        <v>253</v>
      </c>
      <c r="D339" s="27" t="s">
        <v>256</v>
      </c>
      <c r="E339" s="27" t="s">
        <v>1201</v>
      </c>
      <c r="F339" s="27" t="s">
        <v>1202</v>
      </c>
      <c r="G339" s="27" t="s">
        <v>689</v>
      </c>
      <c r="H339" s="28" t="n">
        <v>248</v>
      </c>
      <c r="I339" s="28" t="n">
        <v>164.67</v>
      </c>
      <c r="J339" s="29" t="n">
        <v>0.1</v>
      </c>
      <c r="K339" s="28" t="n">
        <v>16.47</v>
      </c>
      <c r="L339" s="30" t="n">
        <f aca="false">ROUND(I339*J339,2)</f>
        <v>16.47</v>
      </c>
      <c r="M339" s="30" t="n">
        <f aca="false">K339-L339</f>
        <v>0</v>
      </c>
      <c r="N339" s="30" t="n">
        <f aca="false">IF(F339="Promotional Incentive",0,I339)</f>
        <v>164.67</v>
      </c>
      <c r="O339" s="30" t="n">
        <f aca="false">IF(F339="Promotional Incentive",0,K339)</f>
        <v>16.47</v>
      </c>
      <c r="P339" s="31" t="s">
        <v>596</v>
      </c>
      <c r="Q339" s="27" t="s">
        <v>255</v>
      </c>
    </row>
    <row r="340" customFormat="false" ht="15" hidden="false" customHeight="false" outlineLevel="0" collapsed="false">
      <c r="A340" s="27" t="s">
        <v>261</v>
      </c>
      <c r="B340" s="27" t="s">
        <v>250</v>
      </c>
      <c r="C340" s="27" t="s">
        <v>253</v>
      </c>
      <c r="D340" s="27" t="s">
        <v>260</v>
      </c>
      <c r="E340" s="27" t="s">
        <v>1203</v>
      </c>
      <c r="F340" s="27" t="s">
        <v>1202</v>
      </c>
      <c r="G340" s="27" t="s">
        <v>506</v>
      </c>
      <c r="H340" s="28" t="n">
        <v>0</v>
      </c>
      <c r="I340" s="28" t="n">
        <v>77.5</v>
      </c>
      <c r="J340" s="29" t="n">
        <v>0.1</v>
      </c>
      <c r="K340" s="28" t="n">
        <v>7.75</v>
      </c>
      <c r="L340" s="30" t="n">
        <f aca="false">ROUND(I340*J340,2)</f>
        <v>7.75</v>
      </c>
      <c r="M340" s="30" t="n">
        <f aca="false">K340-L340</f>
        <v>0</v>
      </c>
      <c r="N340" s="30" t="n">
        <f aca="false">IF(F340="Promotional Incentive",0,I340)</f>
        <v>77.5</v>
      </c>
      <c r="O340" s="30" t="n">
        <f aca="false">IF(F340="Promotional Incentive",0,K340)</f>
        <v>7.75</v>
      </c>
      <c r="P340" s="31" t="s">
        <v>596</v>
      </c>
      <c r="Q340" s="27" t="s">
        <v>259</v>
      </c>
    </row>
    <row r="341" customFormat="false" ht="15" hidden="false" customHeight="false" outlineLevel="0" collapsed="false">
      <c r="A341" s="27" t="s">
        <v>254</v>
      </c>
      <c r="B341" s="27" t="s">
        <v>250</v>
      </c>
      <c r="C341" s="27" t="s">
        <v>253</v>
      </c>
      <c r="D341" s="27" t="s">
        <v>251</v>
      </c>
      <c r="E341" s="27" t="s">
        <v>1204</v>
      </c>
      <c r="F341" s="27" t="s">
        <v>1202</v>
      </c>
      <c r="G341" s="27" t="s">
        <v>845</v>
      </c>
      <c r="H341" s="28" t="n">
        <v>0</v>
      </c>
      <c r="I341" s="28" t="n">
        <v>178.5</v>
      </c>
      <c r="J341" s="29" t="n">
        <v>0.1</v>
      </c>
      <c r="K341" s="28" t="n">
        <v>17.85</v>
      </c>
      <c r="L341" s="30" t="n">
        <f aca="false">ROUND(I341*J341,2)</f>
        <v>17.85</v>
      </c>
      <c r="M341" s="30" t="n">
        <f aca="false">K341-L341</f>
        <v>0</v>
      </c>
      <c r="N341" s="30" t="n">
        <f aca="false">IF(F341="Promotional Incentive",0,I341)</f>
        <v>178.5</v>
      </c>
      <c r="O341" s="30" t="n">
        <f aca="false">IF(F341="Promotional Incentive",0,K341)</f>
        <v>17.85</v>
      </c>
      <c r="P341" s="31" t="s">
        <v>596</v>
      </c>
      <c r="Q341" s="27" t="s">
        <v>249</v>
      </c>
    </row>
    <row r="342" customFormat="false" ht="15" hidden="false" customHeight="false" outlineLevel="0" collapsed="false">
      <c r="A342" s="2" t="s">
        <v>1205</v>
      </c>
      <c r="B342" s="2" t="s">
        <v>250</v>
      </c>
      <c r="C342" s="2" t="s">
        <v>253</v>
      </c>
      <c r="D342" s="2" t="s">
        <v>1206</v>
      </c>
      <c r="E342" s="2" t="s">
        <v>1207</v>
      </c>
      <c r="F342" s="2" t="s">
        <v>1202</v>
      </c>
      <c r="G342" s="2" t="s">
        <v>1208</v>
      </c>
      <c r="H342" s="32" t="n">
        <v>0</v>
      </c>
      <c r="I342" s="32" t="n">
        <v>105.83</v>
      </c>
      <c r="J342" s="33" t="n">
        <v>0.1</v>
      </c>
      <c r="K342" s="32" t="n">
        <v>10.58</v>
      </c>
      <c r="L342" s="12" t="n">
        <f aca="false">ROUND(I342*J342,2)</f>
        <v>10.58</v>
      </c>
      <c r="M342" s="12" t="n">
        <f aca="false">K342-L342</f>
        <v>0</v>
      </c>
      <c r="N342" s="12" t="n">
        <f aca="false">IF(F342="Promotional Incentive",0,I342)</f>
        <v>105.83</v>
      </c>
      <c r="O342" s="12" t="n">
        <f aca="false">IF(F342="Promotional Incentive",0,K342)</f>
        <v>10.58</v>
      </c>
      <c r="P342" s="11" t="s">
        <v>645</v>
      </c>
      <c r="Q342" s="2"/>
    </row>
    <row r="343" customFormat="false" ht="15" hidden="false" customHeight="false" outlineLevel="0" collapsed="false">
      <c r="A343" s="2" t="s">
        <v>1209</v>
      </c>
      <c r="B343" s="2" t="s">
        <v>250</v>
      </c>
      <c r="C343" s="2" t="s">
        <v>253</v>
      </c>
      <c r="D343" s="2" t="s">
        <v>491</v>
      </c>
      <c r="E343" s="2" t="s">
        <v>1210</v>
      </c>
      <c r="F343" s="2" t="s">
        <v>1202</v>
      </c>
      <c r="G343" s="2" t="s">
        <v>1211</v>
      </c>
      <c r="H343" s="32" t="n">
        <v>-87</v>
      </c>
      <c r="I343" s="32" t="n">
        <v>0.65</v>
      </c>
      <c r="J343" s="33" t="n">
        <v>0.1</v>
      </c>
      <c r="K343" s="32" t="n">
        <v>0.07</v>
      </c>
      <c r="L343" s="12" t="n">
        <f aca="false">ROUND(I343*J343,2)</f>
        <v>0.07</v>
      </c>
      <c r="M343" s="12" t="n">
        <f aca="false">K343-L343</f>
        <v>0</v>
      </c>
      <c r="N343" s="12" t="n">
        <f aca="false">IF(F343="Promotional Incentive",0,I343)</f>
        <v>0.65</v>
      </c>
      <c r="O343" s="12" t="n">
        <f aca="false">IF(F343="Promotional Incentive",0,K343)</f>
        <v>0.07</v>
      </c>
      <c r="P343" s="11" t="s">
        <v>645</v>
      </c>
      <c r="Q343" s="2"/>
    </row>
    <row r="344" customFormat="false" ht="15" hidden="false" customHeight="false" outlineLevel="0" collapsed="false">
      <c r="A344" s="2" t="s">
        <v>1212</v>
      </c>
      <c r="B344" s="2" t="s">
        <v>250</v>
      </c>
      <c r="C344" s="2" t="s">
        <v>253</v>
      </c>
      <c r="D344" s="2" t="s">
        <v>1213</v>
      </c>
      <c r="E344" s="2" t="s">
        <v>1214</v>
      </c>
      <c r="F344" s="2" t="s">
        <v>1202</v>
      </c>
      <c r="G344" s="2" t="s">
        <v>1215</v>
      </c>
      <c r="H344" s="32" t="n">
        <v>0</v>
      </c>
      <c r="I344" s="32" t="n">
        <v>100</v>
      </c>
      <c r="J344" s="33" t="n">
        <v>0.1</v>
      </c>
      <c r="K344" s="32" t="n">
        <v>10</v>
      </c>
      <c r="L344" s="12" t="n">
        <f aca="false">ROUND(I344*J344,2)</f>
        <v>10</v>
      </c>
      <c r="M344" s="12" t="n">
        <f aca="false">K344-L344</f>
        <v>0</v>
      </c>
      <c r="N344" s="12" t="n">
        <f aca="false">IF(F344="Promotional Incentive",0,I344)</f>
        <v>100</v>
      </c>
      <c r="O344" s="12" t="n">
        <f aca="false">IF(F344="Promotional Incentive",0,K344)</f>
        <v>10</v>
      </c>
      <c r="P344" s="11" t="s">
        <v>645</v>
      </c>
      <c r="Q344" s="2"/>
    </row>
    <row r="345" customFormat="false" ht="15" hidden="false" customHeight="false" outlineLevel="0" collapsed="false">
      <c r="A345" s="2" t="s">
        <v>1212</v>
      </c>
      <c r="B345" s="2" t="s">
        <v>250</v>
      </c>
      <c r="C345" s="2" t="s">
        <v>253</v>
      </c>
      <c r="D345" s="2" t="s">
        <v>1213</v>
      </c>
      <c r="E345" s="2" t="s">
        <v>1214</v>
      </c>
      <c r="F345" s="2" t="s">
        <v>1202</v>
      </c>
      <c r="G345" s="2" t="s">
        <v>1216</v>
      </c>
      <c r="H345" s="32" t="n">
        <v>613</v>
      </c>
      <c r="I345" s="32" t="n">
        <v>-35</v>
      </c>
      <c r="J345" s="33" t="n">
        <v>0.1</v>
      </c>
      <c r="K345" s="32" t="n">
        <v>-3.5</v>
      </c>
      <c r="L345" s="12" t="n">
        <f aca="false">ROUND(I345*J345,2)</f>
        <v>-3.5</v>
      </c>
      <c r="M345" s="12" t="n">
        <f aca="false">K345-L345</f>
        <v>0</v>
      </c>
      <c r="N345" s="12" t="n">
        <f aca="false">IF(F345="Promotional Incentive",0,I345)</f>
        <v>-35</v>
      </c>
      <c r="O345" s="12" t="n">
        <f aca="false">IF(F345="Promotional Incentive",0,K345)</f>
        <v>-3.5</v>
      </c>
      <c r="P345" s="11" t="s">
        <v>645</v>
      </c>
      <c r="Q345" s="2"/>
    </row>
    <row r="346" customFormat="false" ht="15" hidden="false" customHeight="false" outlineLevel="0" collapsed="false">
      <c r="A346" s="2" t="s">
        <v>1217</v>
      </c>
      <c r="B346" s="2" t="s">
        <v>250</v>
      </c>
      <c r="C346" s="2" t="s">
        <v>253</v>
      </c>
      <c r="D346" s="2" t="s">
        <v>1218</v>
      </c>
      <c r="E346" s="2" t="s">
        <v>1219</v>
      </c>
      <c r="F346" s="2" t="s">
        <v>1202</v>
      </c>
      <c r="G346" s="2" t="s">
        <v>1215</v>
      </c>
      <c r="H346" s="32" t="n">
        <v>0</v>
      </c>
      <c r="I346" s="32" t="n">
        <v>156.16</v>
      </c>
      <c r="J346" s="33" t="n">
        <v>0.1</v>
      </c>
      <c r="K346" s="32" t="n">
        <v>15.62</v>
      </c>
      <c r="L346" s="12" t="n">
        <f aca="false">ROUND(I346*J346,2)</f>
        <v>15.62</v>
      </c>
      <c r="M346" s="12" t="n">
        <f aca="false">K346-L346</f>
        <v>0</v>
      </c>
      <c r="N346" s="12" t="n">
        <f aca="false">IF(F346="Promotional Incentive",0,I346)</f>
        <v>156.16</v>
      </c>
      <c r="O346" s="12" t="n">
        <f aca="false">IF(F346="Promotional Incentive",0,K346)</f>
        <v>15.62</v>
      </c>
      <c r="P346" s="11" t="s">
        <v>645</v>
      </c>
      <c r="Q346" s="2"/>
    </row>
    <row r="347" customFormat="false" ht="15" hidden="false" customHeight="false" outlineLevel="0" collapsed="false">
      <c r="A347" s="2" t="s">
        <v>1217</v>
      </c>
      <c r="B347" s="2" t="s">
        <v>250</v>
      </c>
      <c r="C347" s="2" t="s">
        <v>253</v>
      </c>
      <c r="D347" s="2" t="s">
        <v>1218</v>
      </c>
      <c r="E347" s="2" t="s">
        <v>1219</v>
      </c>
      <c r="F347" s="2" t="s">
        <v>1202</v>
      </c>
      <c r="G347" s="2" t="s">
        <v>1216</v>
      </c>
      <c r="H347" s="32" t="n">
        <v>840</v>
      </c>
      <c r="I347" s="32" t="n">
        <v>-25</v>
      </c>
      <c r="J347" s="33" t="n">
        <v>0.1</v>
      </c>
      <c r="K347" s="32" t="n">
        <v>-2.5</v>
      </c>
      <c r="L347" s="12" t="n">
        <f aca="false">ROUND(I347*J347,2)</f>
        <v>-2.5</v>
      </c>
      <c r="M347" s="12" t="n">
        <f aca="false">K347-L347</f>
        <v>0</v>
      </c>
      <c r="N347" s="12" t="n">
        <f aca="false">IF(F347="Promotional Incentive",0,I347)</f>
        <v>-25</v>
      </c>
      <c r="O347" s="12" t="n">
        <f aca="false">IF(F347="Promotional Incentive",0,K347)</f>
        <v>-2.5</v>
      </c>
      <c r="P347" s="11" t="s">
        <v>645</v>
      </c>
      <c r="Q347" s="2"/>
    </row>
    <row r="348" customFormat="false" ht="15" hidden="false" customHeight="false" outlineLevel="0" collapsed="false">
      <c r="A348" s="2" t="s">
        <v>1220</v>
      </c>
      <c r="B348" s="2" t="s">
        <v>496</v>
      </c>
      <c r="C348" s="2" t="s">
        <v>498</v>
      </c>
      <c r="D348" s="2" t="s">
        <v>1221</v>
      </c>
      <c r="E348" s="2" t="s">
        <v>1222</v>
      </c>
      <c r="F348" s="2" t="s">
        <v>1223</v>
      </c>
      <c r="G348" s="2" t="s">
        <v>1224</v>
      </c>
      <c r="H348" s="32" t="n">
        <v>2072</v>
      </c>
      <c r="I348" s="32" t="n">
        <v>2072</v>
      </c>
      <c r="J348" s="33" t="n">
        <v>0.12</v>
      </c>
      <c r="K348" s="32" t="n">
        <v>248.64</v>
      </c>
      <c r="L348" s="12" t="n">
        <f aca="false">ROUND(I348*J348,2)</f>
        <v>248.64</v>
      </c>
      <c r="M348" s="12" t="n">
        <f aca="false">K348-L348</f>
        <v>0</v>
      </c>
      <c r="N348" s="12" t="n">
        <f aca="false">IF(F348="Promotional Incentive",0,I348)</f>
        <v>2072</v>
      </c>
      <c r="O348" s="12" t="n">
        <f aca="false">IF(F348="Promotional Incentive",0,K348)</f>
        <v>248.64</v>
      </c>
      <c r="P348" s="11" t="s">
        <v>645</v>
      </c>
      <c r="Q348" s="2"/>
    </row>
    <row r="349" customFormat="false" ht="15" hidden="false" customHeight="false" outlineLevel="0" collapsed="false">
      <c r="A349" s="2" t="s">
        <v>1220</v>
      </c>
      <c r="B349" s="2" t="s">
        <v>496</v>
      </c>
      <c r="C349" s="2" t="s">
        <v>498</v>
      </c>
      <c r="D349" s="2" t="s">
        <v>1221</v>
      </c>
      <c r="E349" s="2" t="s">
        <v>1222</v>
      </c>
      <c r="F349" s="2" t="s">
        <v>1223</v>
      </c>
      <c r="G349" s="2" t="s">
        <v>1225</v>
      </c>
      <c r="H349" s="32" t="n">
        <v>-2072</v>
      </c>
      <c r="I349" s="32" t="n">
        <v>-2072</v>
      </c>
      <c r="J349" s="33" t="n">
        <v>0.12</v>
      </c>
      <c r="K349" s="32" t="n">
        <v>-248.64</v>
      </c>
      <c r="L349" s="12" t="n">
        <f aca="false">ROUND(I349*J349,2)</f>
        <v>-248.64</v>
      </c>
      <c r="M349" s="12" t="n">
        <f aca="false">K349-L349</f>
        <v>0</v>
      </c>
      <c r="N349" s="12" t="n">
        <f aca="false">IF(F349="Promotional Incentive",0,I349)</f>
        <v>-2072</v>
      </c>
      <c r="O349" s="12" t="n">
        <f aca="false">IF(F349="Promotional Incentive",0,K349)</f>
        <v>-248.64</v>
      </c>
      <c r="P349" s="11" t="s">
        <v>645</v>
      </c>
      <c r="Q349" s="2"/>
    </row>
    <row r="350" customFormat="false" ht="15" hidden="false" customHeight="false" outlineLevel="0" collapsed="false">
      <c r="A350" s="2" t="s">
        <v>1220</v>
      </c>
      <c r="B350" s="2" t="s">
        <v>496</v>
      </c>
      <c r="C350" s="2" t="s">
        <v>498</v>
      </c>
      <c r="D350" s="2" t="s">
        <v>1221</v>
      </c>
      <c r="E350" s="2" t="s">
        <v>1222</v>
      </c>
      <c r="F350" s="2" t="s">
        <v>1223</v>
      </c>
      <c r="G350" s="2" t="s">
        <v>1225</v>
      </c>
      <c r="H350" s="32" t="n">
        <v>2072</v>
      </c>
      <c r="I350" s="32" t="n">
        <v>2072</v>
      </c>
      <c r="J350" s="33" t="n">
        <v>0.12</v>
      </c>
      <c r="K350" s="32" t="n">
        <v>248.64</v>
      </c>
      <c r="L350" s="12" t="n">
        <f aca="false">ROUND(I350*J350,2)</f>
        <v>248.64</v>
      </c>
      <c r="M350" s="12" t="n">
        <f aca="false">K350-L350</f>
        <v>0</v>
      </c>
      <c r="N350" s="12" t="n">
        <f aca="false">IF(F350="Promotional Incentive",0,I350)</f>
        <v>2072</v>
      </c>
      <c r="O350" s="12" t="n">
        <f aca="false">IF(F350="Promotional Incentive",0,K350)</f>
        <v>248.64</v>
      </c>
      <c r="P350" s="11" t="s">
        <v>645</v>
      </c>
      <c r="Q350" s="2"/>
    </row>
    <row r="351" customFormat="false" ht="15" hidden="false" customHeight="false" outlineLevel="0" collapsed="false">
      <c r="A351" s="2" t="s">
        <v>1220</v>
      </c>
      <c r="B351" s="2" t="s">
        <v>496</v>
      </c>
      <c r="C351" s="2" t="s">
        <v>498</v>
      </c>
      <c r="D351" s="2" t="s">
        <v>1221</v>
      </c>
      <c r="E351" s="2" t="s">
        <v>1222</v>
      </c>
      <c r="F351" s="2" t="s">
        <v>1223</v>
      </c>
      <c r="G351" s="2" t="s">
        <v>795</v>
      </c>
      <c r="H351" s="32" t="n">
        <v>2072</v>
      </c>
      <c r="I351" s="32" t="n">
        <v>2072</v>
      </c>
      <c r="J351" s="33" t="n">
        <v>0.12</v>
      </c>
      <c r="K351" s="32" t="n">
        <v>248.64</v>
      </c>
      <c r="L351" s="12" t="n">
        <f aca="false">ROUND(I351*J351,2)</f>
        <v>248.64</v>
      </c>
      <c r="M351" s="12" t="n">
        <f aca="false">K351-L351</f>
        <v>0</v>
      </c>
      <c r="N351" s="12" t="n">
        <f aca="false">IF(F351="Promotional Incentive",0,I351)</f>
        <v>2072</v>
      </c>
      <c r="O351" s="12" t="n">
        <f aca="false">IF(F351="Promotional Incentive",0,K351)</f>
        <v>248.64</v>
      </c>
      <c r="P351" s="11" t="s">
        <v>645</v>
      </c>
      <c r="Q351" s="2"/>
    </row>
    <row r="352" customFormat="false" ht="15" hidden="false" customHeight="false" outlineLevel="0" collapsed="false">
      <c r="A352" s="2" t="s">
        <v>1220</v>
      </c>
      <c r="B352" s="2" t="s">
        <v>496</v>
      </c>
      <c r="C352" s="2" t="s">
        <v>498</v>
      </c>
      <c r="D352" s="2" t="s">
        <v>1221</v>
      </c>
      <c r="E352" s="2" t="s">
        <v>1222</v>
      </c>
      <c r="F352" s="2" t="s">
        <v>1223</v>
      </c>
      <c r="G352" s="2" t="s">
        <v>795</v>
      </c>
      <c r="H352" s="32" t="n">
        <v>-2072</v>
      </c>
      <c r="I352" s="32" t="n">
        <v>-2072</v>
      </c>
      <c r="J352" s="33" t="n">
        <v>0.12</v>
      </c>
      <c r="K352" s="32" t="n">
        <v>-248.64</v>
      </c>
      <c r="L352" s="12" t="n">
        <f aca="false">ROUND(I352*J352,2)</f>
        <v>-248.64</v>
      </c>
      <c r="M352" s="12" t="n">
        <f aca="false">K352-L352</f>
        <v>0</v>
      </c>
      <c r="N352" s="12" t="n">
        <f aca="false">IF(F352="Promotional Incentive",0,I352)</f>
        <v>-2072</v>
      </c>
      <c r="O352" s="12" t="n">
        <f aca="false">IF(F352="Promotional Incentive",0,K352)</f>
        <v>-248.64</v>
      </c>
      <c r="P352" s="11" t="s">
        <v>645</v>
      </c>
      <c r="Q352" s="2"/>
    </row>
    <row r="353" customFormat="false" ht="15" hidden="false" customHeight="false" outlineLevel="0" collapsed="false">
      <c r="A353" s="2" t="s">
        <v>1220</v>
      </c>
      <c r="B353" s="2" t="s">
        <v>496</v>
      </c>
      <c r="C353" s="2" t="s">
        <v>498</v>
      </c>
      <c r="D353" s="2" t="s">
        <v>1221</v>
      </c>
      <c r="E353" s="2" t="s">
        <v>1222</v>
      </c>
      <c r="F353" s="2" t="s">
        <v>1223</v>
      </c>
      <c r="G353" s="2" t="s">
        <v>1226</v>
      </c>
      <c r="H353" s="32" t="n">
        <v>-2072</v>
      </c>
      <c r="I353" s="32" t="n">
        <v>-2072</v>
      </c>
      <c r="J353" s="33" t="n">
        <v>0.12</v>
      </c>
      <c r="K353" s="32" t="n">
        <v>-248.64</v>
      </c>
      <c r="L353" s="12" t="n">
        <f aca="false">ROUND(I353*J353,2)</f>
        <v>-248.64</v>
      </c>
      <c r="M353" s="12" t="n">
        <f aca="false">K353-L353</f>
        <v>0</v>
      </c>
      <c r="N353" s="12" t="n">
        <f aca="false">IF(F353="Promotional Incentive",0,I353)</f>
        <v>-2072</v>
      </c>
      <c r="O353" s="12" t="n">
        <f aca="false">IF(F353="Promotional Incentive",0,K353)</f>
        <v>-248.64</v>
      </c>
      <c r="P353" s="11" t="s">
        <v>645</v>
      </c>
      <c r="Q353" s="2"/>
    </row>
    <row r="354" customFormat="false" ht="15" hidden="false" customHeight="false" outlineLevel="0" collapsed="false">
      <c r="A354" s="2" t="s">
        <v>1220</v>
      </c>
      <c r="B354" s="2" t="s">
        <v>496</v>
      </c>
      <c r="C354" s="2" t="s">
        <v>498</v>
      </c>
      <c r="D354" s="2" t="s">
        <v>1221</v>
      </c>
      <c r="E354" s="2" t="s">
        <v>1222</v>
      </c>
      <c r="F354" s="2" t="s">
        <v>1223</v>
      </c>
      <c r="G354" s="2" t="s">
        <v>1226</v>
      </c>
      <c r="H354" s="32" t="n">
        <v>2072</v>
      </c>
      <c r="I354" s="32" t="n">
        <v>2072</v>
      </c>
      <c r="J354" s="33" t="n">
        <v>0.12</v>
      </c>
      <c r="K354" s="32" t="n">
        <v>248.64</v>
      </c>
      <c r="L354" s="12" t="n">
        <f aca="false">ROUND(I354*J354,2)</f>
        <v>248.64</v>
      </c>
      <c r="M354" s="12" t="n">
        <f aca="false">K354-L354</f>
        <v>0</v>
      </c>
      <c r="N354" s="12" t="n">
        <f aca="false">IF(F354="Promotional Incentive",0,I354)</f>
        <v>2072</v>
      </c>
      <c r="O354" s="12" t="n">
        <f aca="false">IF(F354="Promotional Incentive",0,K354)</f>
        <v>248.64</v>
      </c>
      <c r="P354" s="11" t="s">
        <v>645</v>
      </c>
      <c r="Q354" s="2"/>
    </row>
    <row r="355" customFormat="false" ht="15" hidden="false" customHeight="false" outlineLevel="0" collapsed="false">
      <c r="A355" s="2" t="s">
        <v>1220</v>
      </c>
      <c r="B355" s="2" t="s">
        <v>496</v>
      </c>
      <c r="C355" s="2" t="s">
        <v>498</v>
      </c>
      <c r="D355" s="2" t="s">
        <v>1221</v>
      </c>
      <c r="E355" s="2" t="s">
        <v>1222</v>
      </c>
      <c r="F355" s="2" t="s">
        <v>1223</v>
      </c>
      <c r="G355" s="2" t="s">
        <v>1226</v>
      </c>
      <c r="H355" s="32" t="n">
        <v>49</v>
      </c>
      <c r="I355" s="32" t="n">
        <v>49</v>
      </c>
      <c r="J355" s="33" t="n">
        <v>0.12</v>
      </c>
      <c r="K355" s="32" t="n">
        <v>5.88</v>
      </c>
      <c r="L355" s="12" t="n">
        <f aca="false">ROUND(I355*J355,2)</f>
        <v>5.88</v>
      </c>
      <c r="M355" s="12" t="n">
        <f aca="false">K355-L355</f>
        <v>0</v>
      </c>
      <c r="N355" s="12" t="n">
        <f aca="false">IF(F355="Promotional Incentive",0,I355)</f>
        <v>49</v>
      </c>
      <c r="O355" s="12" t="n">
        <f aca="false">IF(F355="Promotional Incentive",0,K355)</f>
        <v>5.88</v>
      </c>
      <c r="P355" s="11" t="s">
        <v>645</v>
      </c>
      <c r="Q355" s="2"/>
    </row>
    <row r="356" customFormat="false" ht="15" hidden="false" customHeight="false" outlineLevel="0" collapsed="false">
      <c r="A356" s="2" t="s">
        <v>1227</v>
      </c>
      <c r="B356" s="2" t="s">
        <v>496</v>
      </c>
      <c r="C356" s="2" t="s">
        <v>498</v>
      </c>
      <c r="D356" s="2" t="s">
        <v>1228</v>
      </c>
      <c r="E356" s="2" t="s">
        <v>1229</v>
      </c>
      <c r="F356" s="2" t="s">
        <v>1223</v>
      </c>
      <c r="G356" s="2" t="s">
        <v>1230</v>
      </c>
      <c r="H356" s="32" t="n">
        <v>1075</v>
      </c>
      <c r="I356" s="32" t="n">
        <v>1075</v>
      </c>
      <c r="J356" s="33" t="n">
        <v>0.12</v>
      </c>
      <c r="K356" s="32" t="n">
        <v>129</v>
      </c>
      <c r="L356" s="12" t="n">
        <f aca="false">ROUND(I356*J356,2)</f>
        <v>129</v>
      </c>
      <c r="M356" s="12" t="n">
        <f aca="false">K356-L356</f>
        <v>0</v>
      </c>
      <c r="N356" s="12" t="n">
        <f aca="false">IF(F356="Promotional Incentive",0,I356)</f>
        <v>1075</v>
      </c>
      <c r="O356" s="12" t="n">
        <f aca="false">IF(F356="Promotional Incentive",0,K356)</f>
        <v>129</v>
      </c>
      <c r="P356" s="11" t="s">
        <v>645</v>
      </c>
      <c r="Q356" s="2"/>
    </row>
    <row r="357" customFormat="false" ht="15" hidden="false" customHeight="false" outlineLevel="0" collapsed="false">
      <c r="A357" s="2" t="s">
        <v>1231</v>
      </c>
      <c r="B357" s="2" t="s">
        <v>496</v>
      </c>
      <c r="C357" s="2" t="s">
        <v>498</v>
      </c>
      <c r="D357" s="2" t="s">
        <v>1232</v>
      </c>
      <c r="E357" s="2" t="s">
        <v>1233</v>
      </c>
      <c r="F357" s="2" t="s">
        <v>1223</v>
      </c>
      <c r="G357" s="2" t="s">
        <v>1234</v>
      </c>
      <c r="H357" s="32" t="n">
        <v>1149</v>
      </c>
      <c r="I357" s="32" t="n">
        <v>1149</v>
      </c>
      <c r="J357" s="33" t="n">
        <v>0.12</v>
      </c>
      <c r="K357" s="32" t="n">
        <v>137.88</v>
      </c>
      <c r="L357" s="12" t="n">
        <f aca="false">ROUND(I357*J357,2)</f>
        <v>137.88</v>
      </c>
      <c r="M357" s="12" t="n">
        <f aca="false">K357-L357</f>
        <v>0</v>
      </c>
      <c r="N357" s="12" t="n">
        <f aca="false">IF(F357="Promotional Incentive",0,I357)</f>
        <v>1149</v>
      </c>
      <c r="O357" s="12" t="n">
        <f aca="false">IF(F357="Promotional Incentive",0,K357)</f>
        <v>137.88</v>
      </c>
      <c r="P357" s="11" t="s">
        <v>645</v>
      </c>
      <c r="Q357" s="2"/>
    </row>
    <row r="358" customFormat="false" ht="15" hidden="false" customHeight="false" outlineLevel="0" collapsed="false">
      <c r="A358" s="2" t="s">
        <v>1231</v>
      </c>
      <c r="B358" s="2" t="s">
        <v>496</v>
      </c>
      <c r="C358" s="2" t="s">
        <v>498</v>
      </c>
      <c r="D358" s="2" t="s">
        <v>1232</v>
      </c>
      <c r="E358" s="2" t="s">
        <v>1233</v>
      </c>
      <c r="F358" s="2" t="s">
        <v>1223</v>
      </c>
      <c r="G358" s="2" t="s">
        <v>821</v>
      </c>
      <c r="H358" s="32" t="n">
        <v>-1149</v>
      </c>
      <c r="I358" s="32" t="n">
        <v>-1149</v>
      </c>
      <c r="J358" s="33" t="n">
        <v>0.12</v>
      </c>
      <c r="K358" s="32" t="n">
        <v>-137.88</v>
      </c>
      <c r="L358" s="12" t="n">
        <f aca="false">ROUND(I358*J358,2)</f>
        <v>-137.88</v>
      </c>
      <c r="M358" s="12" t="n">
        <f aca="false">K358-L358</f>
        <v>0</v>
      </c>
      <c r="N358" s="12" t="n">
        <f aca="false">IF(F358="Promotional Incentive",0,I358)</f>
        <v>-1149</v>
      </c>
      <c r="O358" s="12" t="n">
        <f aca="false">IF(F358="Promotional Incentive",0,K358)</f>
        <v>-137.88</v>
      </c>
      <c r="P358" s="11" t="s">
        <v>645</v>
      </c>
      <c r="Q358" s="2"/>
    </row>
    <row r="359" customFormat="false" ht="15" hidden="false" customHeight="false" outlineLevel="0" collapsed="false">
      <c r="A359" s="2" t="s">
        <v>1231</v>
      </c>
      <c r="B359" s="2" t="s">
        <v>496</v>
      </c>
      <c r="C359" s="2" t="s">
        <v>498</v>
      </c>
      <c r="D359" s="2" t="s">
        <v>1232</v>
      </c>
      <c r="E359" s="2" t="s">
        <v>1233</v>
      </c>
      <c r="F359" s="2" t="s">
        <v>1223</v>
      </c>
      <c r="G359" s="2" t="s">
        <v>821</v>
      </c>
      <c r="H359" s="32" t="n">
        <v>1149</v>
      </c>
      <c r="I359" s="32" t="n">
        <v>1149</v>
      </c>
      <c r="J359" s="33" t="n">
        <v>0.12</v>
      </c>
      <c r="K359" s="32" t="n">
        <v>137.88</v>
      </c>
      <c r="L359" s="12" t="n">
        <f aca="false">ROUND(I359*J359,2)</f>
        <v>137.88</v>
      </c>
      <c r="M359" s="12" t="n">
        <f aca="false">K359-L359</f>
        <v>0</v>
      </c>
      <c r="N359" s="12" t="n">
        <f aca="false">IF(F359="Promotional Incentive",0,I359)</f>
        <v>1149</v>
      </c>
      <c r="O359" s="12" t="n">
        <f aca="false">IF(F359="Promotional Incentive",0,K359)</f>
        <v>137.88</v>
      </c>
      <c r="P359" s="11" t="s">
        <v>645</v>
      </c>
      <c r="Q359" s="2"/>
    </row>
    <row r="360" customFormat="false" ht="15" hidden="false" customHeight="false" outlineLevel="0" collapsed="false">
      <c r="A360" s="2" t="s">
        <v>1231</v>
      </c>
      <c r="B360" s="2" t="s">
        <v>496</v>
      </c>
      <c r="C360" s="2" t="s">
        <v>498</v>
      </c>
      <c r="D360" s="2" t="s">
        <v>1232</v>
      </c>
      <c r="E360" s="2" t="s">
        <v>1233</v>
      </c>
      <c r="F360" s="2" t="s">
        <v>1223</v>
      </c>
      <c r="G360" s="2" t="s">
        <v>1235</v>
      </c>
      <c r="H360" s="32" t="n">
        <v>-1149</v>
      </c>
      <c r="I360" s="32" t="n">
        <v>-1149</v>
      </c>
      <c r="J360" s="33" t="n">
        <v>0.12</v>
      </c>
      <c r="K360" s="32" t="n">
        <v>-137.88</v>
      </c>
      <c r="L360" s="12" t="n">
        <f aca="false">ROUND(I360*J360,2)</f>
        <v>-137.88</v>
      </c>
      <c r="M360" s="12" t="n">
        <f aca="false">K360-L360</f>
        <v>0</v>
      </c>
      <c r="N360" s="12" t="n">
        <f aca="false">IF(F360="Promotional Incentive",0,I360)</f>
        <v>-1149</v>
      </c>
      <c r="O360" s="12" t="n">
        <f aca="false">IF(F360="Promotional Incentive",0,K360)</f>
        <v>-137.88</v>
      </c>
      <c r="P360" s="11" t="s">
        <v>645</v>
      </c>
      <c r="Q360" s="2"/>
    </row>
    <row r="361" customFormat="false" ht="15" hidden="false" customHeight="false" outlineLevel="0" collapsed="false">
      <c r="A361" s="2" t="s">
        <v>1231</v>
      </c>
      <c r="B361" s="2" t="s">
        <v>496</v>
      </c>
      <c r="C361" s="2" t="s">
        <v>498</v>
      </c>
      <c r="D361" s="2" t="s">
        <v>1232</v>
      </c>
      <c r="E361" s="2" t="s">
        <v>1233</v>
      </c>
      <c r="F361" s="2" t="s">
        <v>1223</v>
      </c>
      <c r="G361" s="2" t="s">
        <v>1235</v>
      </c>
      <c r="H361" s="32" t="n">
        <v>1149</v>
      </c>
      <c r="I361" s="32" t="n">
        <v>1149</v>
      </c>
      <c r="J361" s="33" t="n">
        <v>0.12</v>
      </c>
      <c r="K361" s="32" t="n">
        <v>137.88</v>
      </c>
      <c r="L361" s="12" t="n">
        <f aca="false">ROUND(I361*J361,2)</f>
        <v>137.88</v>
      </c>
      <c r="M361" s="12" t="n">
        <f aca="false">K361-L361</f>
        <v>0</v>
      </c>
      <c r="N361" s="12" t="n">
        <f aca="false">IF(F361="Promotional Incentive",0,I361)</f>
        <v>1149</v>
      </c>
      <c r="O361" s="12" t="n">
        <f aca="false">IF(F361="Promotional Incentive",0,K361)</f>
        <v>137.88</v>
      </c>
      <c r="P361" s="11" t="s">
        <v>645</v>
      </c>
      <c r="Q361" s="2"/>
    </row>
    <row r="362" customFormat="false" ht="15" hidden="false" customHeight="false" outlineLevel="0" collapsed="false">
      <c r="A362" s="2" t="s">
        <v>1236</v>
      </c>
      <c r="B362" s="2" t="s">
        <v>496</v>
      </c>
      <c r="C362" s="2" t="s">
        <v>498</v>
      </c>
      <c r="D362" s="2" t="s">
        <v>1237</v>
      </c>
      <c r="E362" s="2" t="s">
        <v>1238</v>
      </c>
      <c r="F362" s="2" t="s">
        <v>1223</v>
      </c>
      <c r="G362" s="2" t="s">
        <v>1239</v>
      </c>
      <c r="H362" s="32" t="n">
        <v>-191.79</v>
      </c>
      <c r="I362" s="32" t="n">
        <v>-191.79</v>
      </c>
      <c r="J362" s="33" t="n">
        <v>0.12</v>
      </c>
      <c r="K362" s="32" t="n">
        <v>-23.01</v>
      </c>
      <c r="L362" s="12" t="n">
        <f aca="false">ROUND(I362*J362,2)</f>
        <v>-23.01</v>
      </c>
      <c r="M362" s="12" t="n">
        <f aca="false">K362-L362</f>
        <v>0</v>
      </c>
      <c r="N362" s="12" t="n">
        <f aca="false">IF(F362="Promotional Incentive",0,I362)</f>
        <v>-191.79</v>
      </c>
      <c r="O362" s="12" t="n">
        <f aca="false">IF(F362="Promotional Incentive",0,K362)</f>
        <v>-23.01</v>
      </c>
      <c r="P362" s="11" t="s">
        <v>645</v>
      </c>
      <c r="Q362" s="2"/>
    </row>
    <row r="363" customFormat="false" ht="15" hidden="false" customHeight="false" outlineLevel="0" collapsed="false">
      <c r="A363" s="2" t="s">
        <v>1240</v>
      </c>
      <c r="B363" s="2" t="s">
        <v>496</v>
      </c>
      <c r="C363" s="2" t="s">
        <v>498</v>
      </c>
      <c r="D363" s="2" t="s">
        <v>1241</v>
      </c>
      <c r="E363" s="2" t="s">
        <v>1242</v>
      </c>
      <c r="F363" s="2" t="s">
        <v>1223</v>
      </c>
      <c r="G363" s="2" t="s">
        <v>612</v>
      </c>
      <c r="H363" s="32" t="n">
        <v>6.2</v>
      </c>
      <c r="I363" s="32" t="n">
        <v>6.2</v>
      </c>
      <c r="J363" s="33" t="n">
        <v>0.12</v>
      </c>
      <c r="K363" s="32" t="n">
        <v>0.74</v>
      </c>
      <c r="L363" s="12" t="n">
        <f aca="false">ROUND(I363*J363,2)</f>
        <v>0.74</v>
      </c>
      <c r="M363" s="12" t="n">
        <f aca="false">K363-L363</f>
        <v>0</v>
      </c>
      <c r="N363" s="12" t="n">
        <f aca="false">IF(F363="Promotional Incentive",0,I363)</f>
        <v>6.2</v>
      </c>
      <c r="O363" s="12" t="n">
        <f aca="false">IF(F363="Promotional Incentive",0,K363)</f>
        <v>0.74</v>
      </c>
      <c r="P363" s="11" t="s">
        <v>645</v>
      </c>
      <c r="Q363" s="2"/>
    </row>
    <row r="364" customFormat="false" ht="15" hidden="false" customHeight="false" outlineLevel="0" collapsed="false">
      <c r="A364" s="2" t="s">
        <v>1240</v>
      </c>
      <c r="B364" s="2" t="s">
        <v>496</v>
      </c>
      <c r="C364" s="2" t="s">
        <v>498</v>
      </c>
      <c r="D364" s="2" t="s">
        <v>1241</v>
      </c>
      <c r="E364" s="2" t="s">
        <v>1242</v>
      </c>
      <c r="F364" s="2" t="s">
        <v>1223</v>
      </c>
      <c r="G364" s="2" t="s">
        <v>608</v>
      </c>
      <c r="H364" s="32" t="n">
        <v>-74.76</v>
      </c>
      <c r="I364" s="32" t="n">
        <v>-74.76</v>
      </c>
      <c r="J364" s="33" t="n">
        <v>0.12</v>
      </c>
      <c r="K364" s="32" t="n">
        <v>-8.97</v>
      </c>
      <c r="L364" s="12" t="n">
        <f aca="false">ROUND(I364*J364,2)</f>
        <v>-8.97</v>
      </c>
      <c r="M364" s="12" t="n">
        <f aca="false">K364-L364</f>
        <v>0</v>
      </c>
      <c r="N364" s="12" t="n">
        <f aca="false">IF(F364="Promotional Incentive",0,I364)</f>
        <v>-74.76</v>
      </c>
      <c r="O364" s="12" t="n">
        <f aca="false">IF(F364="Promotional Incentive",0,K364)</f>
        <v>-8.97</v>
      </c>
      <c r="P364" s="11" t="s">
        <v>645</v>
      </c>
      <c r="Q364" s="2"/>
    </row>
    <row r="365" customFormat="false" ht="15" hidden="false" customHeight="false" outlineLevel="0" collapsed="false">
      <c r="A365" s="2" t="s">
        <v>1243</v>
      </c>
      <c r="B365" s="2" t="s">
        <v>496</v>
      </c>
      <c r="C365" s="2" t="s">
        <v>498</v>
      </c>
      <c r="D365" s="2" t="s">
        <v>497</v>
      </c>
      <c r="E365" s="2" t="s">
        <v>493</v>
      </c>
      <c r="F365" s="2" t="s">
        <v>1223</v>
      </c>
      <c r="G365" s="2" t="s">
        <v>722</v>
      </c>
      <c r="H365" s="32" t="n">
        <v>-402.75</v>
      </c>
      <c r="I365" s="32" t="n">
        <v>-402.75</v>
      </c>
      <c r="J365" s="33" t="n">
        <v>0.12</v>
      </c>
      <c r="K365" s="32" t="n">
        <v>-48.33</v>
      </c>
      <c r="L365" s="12" t="n">
        <f aca="false">ROUND(I365*J365,2)</f>
        <v>-48.33</v>
      </c>
      <c r="M365" s="12" t="n">
        <f aca="false">K365-L365</f>
        <v>0</v>
      </c>
      <c r="N365" s="12" t="n">
        <f aca="false">IF(F365="Promotional Incentive",0,I365)</f>
        <v>-402.75</v>
      </c>
      <c r="O365" s="12" t="n">
        <f aca="false">IF(F365="Promotional Incentive",0,K365)</f>
        <v>-48.33</v>
      </c>
      <c r="P365" s="11" t="s">
        <v>645</v>
      </c>
      <c r="Q365" s="2"/>
    </row>
    <row r="366" customFormat="false" ht="15" hidden="false" customHeight="false" outlineLevel="0" collapsed="false">
      <c r="A366" s="2" t="s">
        <v>1243</v>
      </c>
      <c r="B366" s="2" t="s">
        <v>496</v>
      </c>
      <c r="C366" s="2" t="s">
        <v>498</v>
      </c>
      <c r="D366" s="2" t="s">
        <v>497</v>
      </c>
      <c r="E366" s="2" t="s">
        <v>493</v>
      </c>
      <c r="F366" s="2" t="s">
        <v>1223</v>
      </c>
      <c r="G366" s="2" t="s">
        <v>722</v>
      </c>
      <c r="H366" s="32" t="n">
        <v>21.21</v>
      </c>
      <c r="I366" s="32" t="n">
        <v>21.21</v>
      </c>
      <c r="J366" s="33" t="n">
        <v>0.12</v>
      </c>
      <c r="K366" s="32" t="n">
        <v>2.55</v>
      </c>
      <c r="L366" s="12" t="n">
        <f aca="false">ROUND(I366*J366,2)</f>
        <v>2.55</v>
      </c>
      <c r="M366" s="12" t="n">
        <f aca="false">K366-L366</f>
        <v>0</v>
      </c>
      <c r="N366" s="12" t="n">
        <f aca="false">IF(F366="Promotional Incentive",0,I366)</f>
        <v>21.21</v>
      </c>
      <c r="O366" s="12" t="n">
        <f aca="false">IF(F366="Promotional Incentive",0,K366)</f>
        <v>2.55</v>
      </c>
      <c r="P366" s="11" t="s">
        <v>645</v>
      </c>
      <c r="Q366" s="2"/>
    </row>
    <row r="367" customFormat="false" ht="15" hidden="false" customHeight="false" outlineLevel="0" collapsed="false">
      <c r="A367" s="2" t="s">
        <v>1244</v>
      </c>
      <c r="B367" s="2" t="s">
        <v>496</v>
      </c>
      <c r="C367" s="2" t="s">
        <v>498</v>
      </c>
      <c r="D367" s="2" t="s">
        <v>1245</v>
      </c>
      <c r="E367" s="2" t="s">
        <v>1246</v>
      </c>
      <c r="F367" s="2" t="s">
        <v>1223</v>
      </c>
      <c r="G367" s="2" t="s">
        <v>595</v>
      </c>
      <c r="H367" s="32" t="n">
        <v>583.2</v>
      </c>
      <c r="I367" s="32" t="n">
        <v>583.2</v>
      </c>
      <c r="J367" s="33" t="n">
        <v>0.12</v>
      </c>
      <c r="K367" s="32" t="n">
        <v>69.98</v>
      </c>
      <c r="L367" s="12" t="n">
        <f aca="false">ROUND(I367*J367,2)</f>
        <v>69.98</v>
      </c>
      <c r="M367" s="12" t="n">
        <f aca="false">K367-L367</f>
        <v>0</v>
      </c>
      <c r="N367" s="12" t="n">
        <f aca="false">IF(F367="Promotional Incentive",0,I367)</f>
        <v>583.2</v>
      </c>
      <c r="O367" s="12" t="n">
        <f aca="false">IF(F367="Promotional Incentive",0,K367)</f>
        <v>69.98</v>
      </c>
      <c r="P367" s="11" t="s">
        <v>645</v>
      </c>
      <c r="Q367" s="2"/>
    </row>
    <row r="368" customFormat="false" ht="15" hidden="false" customHeight="false" outlineLevel="0" collapsed="false">
      <c r="A368" s="2" t="s">
        <v>1244</v>
      </c>
      <c r="B368" s="2" t="s">
        <v>496</v>
      </c>
      <c r="C368" s="2" t="s">
        <v>498</v>
      </c>
      <c r="D368" s="2" t="s">
        <v>1245</v>
      </c>
      <c r="E368" s="2" t="s">
        <v>1246</v>
      </c>
      <c r="F368" s="2" t="s">
        <v>1223</v>
      </c>
      <c r="G368" s="2" t="s">
        <v>604</v>
      </c>
      <c r="H368" s="32" t="n">
        <v>-1050.59</v>
      </c>
      <c r="I368" s="32" t="n">
        <v>-1050.59</v>
      </c>
      <c r="J368" s="33" t="n">
        <v>0.12</v>
      </c>
      <c r="K368" s="32" t="n">
        <v>-126.07</v>
      </c>
      <c r="L368" s="12" t="n">
        <f aca="false">ROUND(I368*J368,2)</f>
        <v>-126.07</v>
      </c>
      <c r="M368" s="12" t="n">
        <f aca="false">K368-L368</f>
        <v>0</v>
      </c>
      <c r="N368" s="12" t="n">
        <f aca="false">IF(F368="Promotional Incentive",0,I368)</f>
        <v>-1050.59</v>
      </c>
      <c r="O368" s="12" t="n">
        <f aca="false">IF(F368="Promotional Incentive",0,K368)</f>
        <v>-126.07</v>
      </c>
      <c r="P368" s="11" t="s">
        <v>645</v>
      </c>
      <c r="Q368" s="2"/>
    </row>
    <row r="369" customFormat="false" ht="15" hidden="false" customHeight="false" outlineLevel="0" collapsed="false">
      <c r="A369" s="2" t="s">
        <v>1247</v>
      </c>
      <c r="B369" s="2" t="s">
        <v>496</v>
      </c>
      <c r="C369" s="2" t="s">
        <v>498</v>
      </c>
      <c r="D369" s="2" t="s">
        <v>1248</v>
      </c>
      <c r="E369" s="2" t="s">
        <v>1249</v>
      </c>
      <c r="F369" s="2" t="s">
        <v>1223</v>
      </c>
      <c r="G369" s="2" t="s">
        <v>614</v>
      </c>
      <c r="H369" s="32" t="n">
        <v>-21.53</v>
      </c>
      <c r="I369" s="32" t="n">
        <v>-21.53</v>
      </c>
      <c r="J369" s="33" t="n">
        <v>0.12</v>
      </c>
      <c r="K369" s="32" t="n">
        <v>-2.58</v>
      </c>
      <c r="L369" s="12" t="n">
        <f aca="false">ROUND(I369*J369,2)</f>
        <v>-2.58</v>
      </c>
      <c r="M369" s="12" t="n">
        <f aca="false">K369-L369</f>
        <v>0</v>
      </c>
      <c r="N369" s="12" t="n">
        <f aca="false">IF(F369="Promotional Incentive",0,I369)</f>
        <v>-21.53</v>
      </c>
      <c r="O369" s="12" t="n">
        <f aca="false">IF(F369="Promotional Incentive",0,K369)</f>
        <v>-2.58</v>
      </c>
      <c r="P369" s="11" t="s">
        <v>645</v>
      </c>
      <c r="Q369" s="2"/>
    </row>
    <row r="370" customFormat="false" ht="15" hidden="false" customHeight="false" outlineLevel="0" collapsed="false">
      <c r="A370" s="2" t="s">
        <v>1250</v>
      </c>
      <c r="B370" s="2" t="s">
        <v>496</v>
      </c>
      <c r="C370" s="2" t="s">
        <v>498</v>
      </c>
      <c r="D370" s="2" t="s">
        <v>1251</v>
      </c>
      <c r="E370" s="2" t="s">
        <v>1252</v>
      </c>
      <c r="F370" s="2" t="s">
        <v>1223</v>
      </c>
      <c r="G370" s="2" t="s">
        <v>764</v>
      </c>
      <c r="H370" s="32" t="n">
        <v>1447</v>
      </c>
      <c r="I370" s="32" t="n">
        <v>1447</v>
      </c>
      <c r="J370" s="33" t="n">
        <v>0.12</v>
      </c>
      <c r="K370" s="32" t="n">
        <v>173.64</v>
      </c>
      <c r="L370" s="12" t="n">
        <f aca="false">ROUND(I370*J370,2)</f>
        <v>173.64</v>
      </c>
      <c r="M370" s="12" t="n">
        <f aca="false">K370-L370</f>
        <v>0</v>
      </c>
      <c r="N370" s="12" t="n">
        <f aca="false">IF(F370="Promotional Incentive",0,I370)</f>
        <v>1447</v>
      </c>
      <c r="O370" s="12" t="n">
        <f aca="false">IF(F370="Promotional Incentive",0,K370)</f>
        <v>173.64</v>
      </c>
      <c r="P370" s="11" t="s">
        <v>645</v>
      </c>
      <c r="Q370" s="2"/>
    </row>
    <row r="371" customFormat="false" ht="15" hidden="false" customHeight="false" outlineLevel="0" collapsed="false">
      <c r="A371" s="2" t="s">
        <v>1250</v>
      </c>
      <c r="B371" s="2" t="s">
        <v>496</v>
      </c>
      <c r="C371" s="2" t="s">
        <v>498</v>
      </c>
      <c r="D371" s="2" t="s">
        <v>1251</v>
      </c>
      <c r="E371" s="2" t="s">
        <v>1252</v>
      </c>
      <c r="F371" s="2" t="s">
        <v>1223</v>
      </c>
      <c r="G371" s="2" t="s">
        <v>1253</v>
      </c>
      <c r="H371" s="32" t="n">
        <v>-59</v>
      </c>
      <c r="I371" s="32" t="n">
        <v>-59</v>
      </c>
      <c r="J371" s="33" t="n">
        <v>0.12</v>
      </c>
      <c r="K371" s="32" t="n">
        <v>-7.08</v>
      </c>
      <c r="L371" s="12" t="n">
        <f aca="false">ROUND(I371*J371,2)</f>
        <v>-7.08</v>
      </c>
      <c r="M371" s="12" t="n">
        <f aca="false">K371-L371</f>
        <v>0</v>
      </c>
      <c r="N371" s="12" t="n">
        <f aca="false">IF(F371="Promotional Incentive",0,I371)</f>
        <v>-59</v>
      </c>
      <c r="O371" s="12" t="n">
        <f aca="false">IF(F371="Promotional Incentive",0,K371)</f>
        <v>-7.08</v>
      </c>
      <c r="P371" s="11" t="s">
        <v>645</v>
      </c>
      <c r="Q371" s="2"/>
    </row>
    <row r="372" customFormat="false" ht="15" hidden="false" customHeight="false" outlineLevel="0" collapsed="false">
      <c r="A372" s="2" t="s">
        <v>1250</v>
      </c>
      <c r="B372" s="2" t="s">
        <v>496</v>
      </c>
      <c r="C372" s="2" t="s">
        <v>498</v>
      </c>
      <c r="D372" s="2" t="s">
        <v>1251</v>
      </c>
      <c r="E372" s="2" t="s">
        <v>1252</v>
      </c>
      <c r="F372" s="2" t="s">
        <v>1223</v>
      </c>
      <c r="G372" s="2" t="s">
        <v>1253</v>
      </c>
      <c r="H372" s="32" t="n">
        <v>1447</v>
      </c>
      <c r="I372" s="32" t="n">
        <v>1447</v>
      </c>
      <c r="J372" s="33" t="n">
        <v>0.12</v>
      </c>
      <c r="K372" s="32" t="n">
        <v>173.64</v>
      </c>
      <c r="L372" s="12" t="n">
        <f aca="false">ROUND(I372*J372,2)</f>
        <v>173.64</v>
      </c>
      <c r="M372" s="12" t="n">
        <f aca="false">K372-L372</f>
        <v>0</v>
      </c>
      <c r="N372" s="12" t="n">
        <f aca="false">IF(F372="Promotional Incentive",0,I372)</f>
        <v>1447</v>
      </c>
      <c r="O372" s="12" t="n">
        <f aca="false">IF(F372="Promotional Incentive",0,K372)</f>
        <v>173.64</v>
      </c>
      <c r="P372" s="11" t="s">
        <v>645</v>
      </c>
      <c r="Q372" s="2"/>
    </row>
    <row r="373" customFormat="false" ht="15" hidden="false" customHeight="false" outlineLevel="0" collapsed="false">
      <c r="A373" s="2" t="s">
        <v>1250</v>
      </c>
      <c r="B373" s="2" t="s">
        <v>496</v>
      </c>
      <c r="C373" s="2" t="s">
        <v>498</v>
      </c>
      <c r="D373" s="2" t="s">
        <v>1251</v>
      </c>
      <c r="E373" s="2" t="s">
        <v>1252</v>
      </c>
      <c r="F373" s="2" t="s">
        <v>1223</v>
      </c>
      <c r="G373" s="2" t="s">
        <v>1253</v>
      </c>
      <c r="H373" s="32" t="n">
        <v>-1447</v>
      </c>
      <c r="I373" s="32" t="n">
        <v>-1447</v>
      </c>
      <c r="J373" s="33" t="n">
        <v>0.12</v>
      </c>
      <c r="K373" s="32" t="n">
        <v>-173.64</v>
      </c>
      <c r="L373" s="12" t="n">
        <f aca="false">ROUND(I373*J373,2)</f>
        <v>-173.64</v>
      </c>
      <c r="M373" s="12" t="n">
        <f aca="false">K373-L373</f>
        <v>0</v>
      </c>
      <c r="N373" s="12" t="n">
        <f aca="false">IF(F373="Promotional Incentive",0,I373)</f>
        <v>-1447</v>
      </c>
      <c r="O373" s="12" t="n">
        <f aca="false">IF(F373="Promotional Incentive",0,K373)</f>
        <v>-173.64</v>
      </c>
      <c r="P373" s="11" t="s">
        <v>645</v>
      </c>
      <c r="Q373" s="2"/>
    </row>
    <row r="374" customFormat="false" ht="15" hidden="false" customHeight="false" outlineLevel="0" collapsed="false">
      <c r="A374" s="2" t="s">
        <v>1250</v>
      </c>
      <c r="B374" s="2" t="s">
        <v>496</v>
      </c>
      <c r="C374" s="2" t="s">
        <v>498</v>
      </c>
      <c r="D374" s="2" t="s">
        <v>1251</v>
      </c>
      <c r="E374" s="2" t="s">
        <v>1252</v>
      </c>
      <c r="F374" s="2" t="s">
        <v>1223</v>
      </c>
      <c r="G374" s="2" t="s">
        <v>630</v>
      </c>
      <c r="H374" s="32" t="n">
        <v>-1312.21</v>
      </c>
      <c r="I374" s="32" t="n">
        <v>-1312.21</v>
      </c>
      <c r="J374" s="33" t="n">
        <v>0.12</v>
      </c>
      <c r="K374" s="32" t="n">
        <v>-157.47</v>
      </c>
      <c r="L374" s="12" t="n">
        <f aca="false">ROUND(I374*J374,2)</f>
        <v>-157.47</v>
      </c>
      <c r="M374" s="12" t="n">
        <f aca="false">K374-L374</f>
        <v>0</v>
      </c>
      <c r="N374" s="12" t="n">
        <f aca="false">IF(F374="Promotional Incentive",0,I374)</f>
        <v>-1312.21</v>
      </c>
      <c r="O374" s="12" t="n">
        <f aca="false">IF(F374="Promotional Incentive",0,K374)</f>
        <v>-157.47</v>
      </c>
      <c r="P374" s="11" t="s">
        <v>645</v>
      </c>
      <c r="Q374" s="2"/>
    </row>
    <row r="375" customFormat="false" ht="15" hidden="false" customHeight="false" outlineLevel="0" collapsed="false">
      <c r="A375" s="2" t="s">
        <v>1254</v>
      </c>
      <c r="B375" s="2" t="s">
        <v>496</v>
      </c>
      <c r="C375" s="2" t="s">
        <v>498</v>
      </c>
      <c r="D375" s="2" t="s">
        <v>1255</v>
      </c>
      <c r="E375" s="2" t="s">
        <v>1256</v>
      </c>
      <c r="F375" s="2" t="s">
        <v>1223</v>
      </c>
      <c r="G375" s="2" t="s">
        <v>1230</v>
      </c>
      <c r="H375" s="32" t="n">
        <v>4204</v>
      </c>
      <c r="I375" s="32" t="n">
        <v>4204</v>
      </c>
      <c r="J375" s="33" t="n">
        <v>0.12</v>
      </c>
      <c r="K375" s="32" t="n">
        <v>504.48</v>
      </c>
      <c r="L375" s="12" t="n">
        <f aca="false">ROUND(I375*J375,2)</f>
        <v>504.48</v>
      </c>
      <c r="M375" s="12" t="n">
        <f aca="false">K375-L375</f>
        <v>0</v>
      </c>
      <c r="N375" s="12" t="n">
        <f aca="false">IF(F375="Promotional Incentive",0,I375)</f>
        <v>4204</v>
      </c>
      <c r="O375" s="12" t="n">
        <f aca="false">IF(F375="Promotional Incentive",0,K375)</f>
        <v>504.48</v>
      </c>
      <c r="P375" s="11" t="s">
        <v>645</v>
      </c>
      <c r="Q375" s="2"/>
    </row>
    <row r="376" customFormat="false" ht="15" hidden="false" customHeight="false" outlineLevel="0" collapsed="false">
      <c r="A376" s="2" t="s">
        <v>1257</v>
      </c>
      <c r="B376" s="2" t="s">
        <v>496</v>
      </c>
      <c r="C376" s="2" t="s">
        <v>498</v>
      </c>
      <c r="D376" s="2" t="s">
        <v>1258</v>
      </c>
      <c r="E376" s="2" t="s">
        <v>1259</v>
      </c>
      <c r="F376" s="2" t="s">
        <v>1223</v>
      </c>
      <c r="G376" s="2" t="s">
        <v>1260</v>
      </c>
      <c r="H376" s="32" t="n">
        <v>1262</v>
      </c>
      <c r="I376" s="32" t="n">
        <v>1262</v>
      </c>
      <c r="J376" s="33" t="n">
        <v>0.12</v>
      </c>
      <c r="K376" s="32" t="n">
        <v>151.44</v>
      </c>
      <c r="L376" s="12" t="n">
        <f aca="false">ROUND(I376*J376,2)</f>
        <v>151.44</v>
      </c>
      <c r="M376" s="12" t="n">
        <f aca="false">K376-L376</f>
        <v>0</v>
      </c>
      <c r="N376" s="12" t="n">
        <f aca="false">IF(F376="Promotional Incentive",0,I376)</f>
        <v>1262</v>
      </c>
      <c r="O376" s="12" t="n">
        <f aca="false">IF(F376="Promotional Incentive",0,K376)</f>
        <v>151.44</v>
      </c>
      <c r="P376" s="11" t="s">
        <v>645</v>
      </c>
      <c r="Q376" s="2"/>
    </row>
    <row r="377" customFormat="false" ht="15" hidden="false" customHeight="false" outlineLevel="0" collapsed="false">
      <c r="A377" s="2" t="s">
        <v>1261</v>
      </c>
      <c r="B377" s="2" t="s">
        <v>496</v>
      </c>
      <c r="C377" s="2" t="s">
        <v>498</v>
      </c>
      <c r="D377" s="2" t="s">
        <v>1262</v>
      </c>
      <c r="E377" s="2" t="s">
        <v>1263</v>
      </c>
      <c r="F377" s="2" t="s">
        <v>1264</v>
      </c>
      <c r="G377" s="2" t="s">
        <v>612</v>
      </c>
      <c r="H377" s="32" t="n">
        <v>-1550.86</v>
      </c>
      <c r="I377" s="32" t="n">
        <v>-1550.86</v>
      </c>
      <c r="J377" s="33" t="n">
        <v>0.15</v>
      </c>
      <c r="K377" s="32" t="n">
        <v>-232.63</v>
      </c>
      <c r="L377" s="12" t="n">
        <f aca="false">ROUND(I377*J377,2)</f>
        <v>-232.63</v>
      </c>
      <c r="M377" s="12" t="n">
        <f aca="false">K377-L377</f>
        <v>0</v>
      </c>
      <c r="N377" s="12" t="n">
        <f aca="false">IF(F377="Promotional Incentive",0,I377)</f>
        <v>-1550.86</v>
      </c>
      <c r="O377" s="12" t="n">
        <f aca="false">IF(F377="Promotional Incentive",0,K377)</f>
        <v>-232.63</v>
      </c>
      <c r="P377" s="11" t="s">
        <v>645</v>
      </c>
      <c r="Q377" s="2"/>
    </row>
    <row r="378" customFormat="false" ht="15" hidden="false" customHeight="false" outlineLevel="0" collapsed="false">
      <c r="A378" s="2" t="s">
        <v>1265</v>
      </c>
      <c r="B378" s="2" t="s">
        <v>496</v>
      </c>
      <c r="C378" s="2" t="s">
        <v>498</v>
      </c>
      <c r="D378" s="2" t="s">
        <v>1266</v>
      </c>
      <c r="E378" s="2" t="s">
        <v>1267</v>
      </c>
      <c r="F378" s="2" t="s">
        <v>1264</v>
      </c>
      <c r="G378" s="2" t="s">
        <v>624</v>
      </c>
      <c r="H378" s="32" t="n">
        <v>1132</v>
      </c>
      <c r="I378" s="32" t="n">
        <v>1132</v>
      </c>
      <c r="J378" s="33" t="n">
        <v>0.15</v>
      </c>
      <c r="K378" s="32" t="n">
        <v>169.8</v>
      </c>
      <c r="L378" s="12" t="n">
        <f aca="false">ROUND(I378*J378,2)</f>
        <v>169.8</v>
      </c>
      <c r="M378" s="12" t="n">
        <f aca="false">K378-L378</f>
        <v>0</v>
      </c>
      <c r="N378" s="12" t="n">
        <f aca="false">IF(F378="Promotional Incentive",0,I378)</f>
        <v>1132</v>
      </c>
      <c r="O378" s="12" t="n">
        <f aca="false">IF(F378="Promotional Incentive",0,K378)</f>
        <v>169.8</v>
      </c>
      <c r="P378" s="11" t="s">
        <v>645</v>
      </c>
      <c r="Q378" s="2"/>
    </row>
    <row r="379" customFormat="false" ht="15" hidden="false" customHeight="false" outlineLevel="0" collapsed="false">
      <c r="A379" s="2" t="s">
        <v>1268</v>
      </c>
      <c r="B379" s="2" t="s">
        <v>496</v>
      </c>
      <c r="C379" s="2" t="s">
        <v>498</v>
      </c>
      <c r="D379" s="2" t="s">
        <v>1269</v>
      </c>
      <c r="E379" s="2" t="s">
        <v>1270</v>
      </c>
      <c r="F379" s="2" t="s">
        <v>1264</v>
      </c>
      <c r="G379" s="2" t="s">
        <v>628</v>
      </c>
      <c r="H379" s="32" t="n">
        <v>2518</v>
      </c>
      <c r="I379" s="32" t="n">
        <v>2518</v>
      </c>
      <c r="J379" s="33" t="n">
        <v>0.15</v>
      </c>
      <c r="K379" s="32" t="n">
        <v>377.7</v>
      </c>
      <c r="L379" s="12" t="n">
        <f aca="false">ROUND(I379*J379,2)</f>
        <v>377.7</v>
      </c>
      <c r="M379" s="12" t="n">
        <f aca="false">K379-L379</f>
        <v>0</v>
      </c>
      <c r="N379" s="12" t="n">
        <f aca="false">IF(F379="Promotional Incentive",0,I379)</f>
        <v>2518</v>
      </c>
      <c r="O379" s="12" t="n">
        <f aca="false">IF(F379="Promotional Incentive",0,K379)</f>
        <v>377.7</v>
      </c>
      <c r="P379" s="11" t="s">
        <v>645</v>
      </c>
      <c r="Q379" s="2"/>
    </row>
    <row r="380" customFormat="false" ht="15" hidden="false" customHeight="false" outlineLevel="0" collapsed="false">
      <c r="A380" s="2" t="s">
        <v>1271</v>
      </c>
      <c r="B380" s="2" t="s">
        <v>496</v>
      </c>
      <c r="C380" s="2" t="s">
        <v>498</v>
      </c>
      <c r="D380" s="2" t="s">
        <v>1272</v>
      </c>
      <c r="E380" s="2" t="s">
        <v>1273</v>
      </c>
      <c r="F380" s="2" t="s">
        <v>1264</v>
      </c>
      <c r="G380" s="2" t="s">
        <v>731</v>
      </c>
      <c r="H380" s="32" t="n">
        <v>2274</v>
      </c>
      <c r="I380" s="32" t="n">
        <v>2274</v>
      </c>
      <c r="J380" s="33" t="n">
        <v>0.15</v>
      </c>
      <c r="K380" s="32" t="n">
        <v>341.1</v>
      </c>
      <c r="L380" s="12" t="n">
        <f aca="false">ROUND(I380*J380,2)</f>
        <v>341.1</v>
      </c>
      <c r="M380" s="12" t="n">
        <f aca="false">K380-L380</f>
        <v>0</v>
      </c>
      <c r="N380" s="12" t="n">
        <f aca="false">IF(F380="Promotional Incentive",0,I380)</f>
        <v>2274</v>
      </c>
      <c r="O380" s="12" t="n">
        <f aca="false">IF(F380="Promotional Incentive",0,K380)</f>
        <v>341.1</v>
      </c>
      <c r="P380" s="11" t="s">
        <v>645</v>
      </c>
      <c r="Q380" s="2"/>
    </row>
    <row r="381" customFormat="false" ht="15" hidden="false" customHeight="false" outlineLevel="0" collapsed="false">
      <c r="A381" s="2" t="s">
        <v>1271</v>
      </c>
      <c r="B381" s="2" t="s">
        <v>496</v>
      </c>
      <c r="C381" s="2" t="s">
        <v>498</v>
      </c>
      <c r="D381" s="2" t="s">
        <v>1272</v>
      </c>
      <c r="E381" s="2" t="s">
        <v>1273</v>
      </c>
      <c r="F381" s="2" t="s">
        <v>1264</v>
      </c>
      <c r="G381" s="2" t="s">
        <v>506</v>
      </c>
      <c r="H381" s="32" t="n">
        <v>35</v>
      </c>
      <c r="I381" s="32" t="n">
        <v>35</v>
      </c>
      <c r="J381" s="33" t="n">
        <v>0.15</v>
      </c>
      <c r="K381" s="32" t="n">
        <v>5.25</v>
      </c>
      <c r="L381" s="12" t="n">
        <f aca="false">ROUND(I381*J381,2)</f>
        <v>5.25</v>
      </c>
      <c r="M381" s="12" t="n">
        <f aca="false">K381-L381</f>
        <v>0</v>
      </c>
      <c r="N381" s="12" t="n">
        <f aca="false">IF(F381="Promotional Incentive",0,I381)</f>
        <v>35</v>
      </c>
      <c r="O381" s="12" t="n">
        <f aca="false">IF(F381="Promotional Incentive",0,K381)</f>
        <v>5.25</v>
      </c>
      <c r="P381" s="11" t="s">
        <v>645</v>
      </c>
      <c r="Q381" s="2"/>
    </row>
    <row r="382" customFormat="false" ht="15" hidden="false" customHeight="false" outlineLevel="0" collapsed="false">
      <c r="A382" s="2" t="s">
        <v>1274</v>
      </c>
      <c r="B382" s="2" t="s">
        <v>496</v>
      </c>
      <c r="C382" s="2" t="s">
        <v>498</v>
      </c>
      <c r="D382" s="2" t="s">
        <v>1275</v>
      </c>
      <c r="E382" s="2" t="s">
        <v>1276</v>
      </c>
      <c r="F382" s="2" t="s">
        <v>1264</v>
      </c>
      <c r="G382" s="2" t="s">
        <v>608</v>
      </c>
      <c r="H382" s="32" t="n">
        <v>1293</v>
      </c>
      <c r="I382" s="32" t="n">
        <v>1293</v>
      </c>
      <c r="J382" s="33" t="n">
        <v>0.15</v>
      </c>
      <c r="K382" s="32" t="n">
        <v>193.95</v>
      </c>
      <c r="L382" s="12" t="n">
        <f aca="false">ROUND(I382*J382,2)</f>
        <v>193.95</v>
      </c>
      <c r="M382" s="12" t="n">
        <f aca="false">K382-L382</f>
        <v>0</v>
      </c>
      <c r="N382" s="12" t="n">
        <f aca="false">IF(F382="Promotional Incentive",0,I382)</f>
        <v>1293</v>
      </c>
      <c r="O382" s="12" t="n">
        <f aca="false">IF(F382="Promotional Incentive",0,K382)</f>
        <v>193.95</v>
      </c>
      <c r="P382" s="11" t="s">
        <v>645</v>
      </c>
      <c r="Q382" s="2"/>
    </row>
    <row r="383" customFormat="false" ht="15" hidden="false" customHeight="false" outlineLevel="0" collapsed="false">
      <c r="A383" s="2" t="s">
        <v>1277</v>
      </c>
      <c r="B383" s="2" t="s">
        <v>496</v>
      </c>
      <c r="C383" s="2" t="s">
        <v>498</v>
      </c>
      <c r="D383" s="2" t="s">
        <v>1278</v>
      </c>
      <c r="E383" s="2" t="s">
        <v>1279</v>
      </c>
      <c r="F383" s="2" t="s">
        <v>1264</v>
      </c>
      <c r="G383" s="2" t="s">
        <v>689</v>
      </c>
      <c r="H383" s="32" t="n">
        <v>1997</v>
      </c>
      <c r="I383" s="32" t="n">
        <v>1997</v>
      </c>
      <c r="J383" s="33" t="n">
        <v>0.15</v>
      </c>
      <c r="K383" s="32" t="n">
        <v>299.55</v>
      </c>
      <c r="L383" s="12" t="n">
        <f aca="false">ROUND(I383*J383,2)</f>
        <v>299.55</v>
      </c>
      <c r="M383" s="12" t="n">
        <f aca="false">K383-L383</f>
        <v>0</v>
      </c>
      <c r="N383" s="12" t="n">
        <f aca="false">IF(F383="Promotional Incentive",0,I383)</f>
        <v>1997</v>
      </c>
      <c r="O383" s="12" t="n">
        <f aca="false">IF(F383="Promotional Incentive",0,K383)</f>
        <v>299.55</v>
      </c>
      <c r="P383" s="11" t="s">
        <v>645</v>
      </c>
      <c r="Q383" s="2"/>
    </row>
    <row r="384" customFormat="false" ht="15" hidden="false" customHeight="false" outlineLevel="0" collapsed="false">
      <c r="A384" s="2" t="s">
        <v>1280</v>
      </c>
      <c r="B384" s="2" t="s">
        <v>496</v>
      </c>
      <c r="C384" s="2" t="s">
        <v>498</v>
      </c>
      <c r="D384" s="2" t="s">
        <v>1281</v>
      </c>
      <c r="E384" s="2" t="s">
        <v>1282</v>
      </c>
      <c r="F384" s="2" t="s">
        <v>1264</v>
      </c>
      <c r="G384" s="2" t="s">
        <v>689</v>
      </c>
      <c r="H384" s="32" t="n">
        <v>841</v>
      </c>
      <c r="I384" s="32" t="n">
        <v>841</v>
      </c>
      <c r="J384" s="33" t="n">
        <v>0.15</v>
      </c>
      <c r="K384" s="32" t="n">
        <v>126.15</v>
      </c>
      <c r="L384" s="12" t="n">
        <f aca="false">ROUND(I384*J384,2)</f>
        <v>126.15</v>
      </c>
      <c r="M384" s="12" t="n">
        <f aca="false">K384-L384</f>
        <v>0</v>
      </c>
      <c r="N384" s="12" t="n">
        <f aca="false">IF(F384="Promotional Incentive",0,I384)</f>
        <v>841</v>
      </c>
      <c r="O384" s="12" t="n">
        <f aca="false">IF(F384="Promotional Incentive",0,K384)</f>
        <v>126.15</v>
      </c>
      <c r="P384" s="11" t="s">
        <v>645</v>
      </c>
      <c r="Q384" s="2"/>
    </row>
    <row r="385" customFormat="false" ht="15" hidden="false" customHeight="false" outlineLevel="0" collapsed="false">
      <c r="A385" s="2" t="s">
        <v>1283</v>
      </c>
      <c r="B385" s="2" t="s">
        <v>496</v>
      </c>
      <c r="C385" s="2" t="s">
        <v>498</v>
      </c>
      <c r="D385" s="2" t="s">
        <v>1284</v>
      </c>
      <c r="E385" s="2" t="s">
        <v>1285</v>
      </c>
      <c r="F385" s="2" t="s">
        <v>1264</v>
      </c>
      <c r="G385" s="2" t="s">
        <v>595</v>
      </c>
      <c r="H385" s="32" t="n">
        <v>-638</v>
      </c>
      <c r="I385" s="32" t="n">
        <v>-638</v>
      </c>
      <c r="J385" s="33" t="n">
        <v>0.1</v>
      </c>
      <c r="K385" s="32" t="n">
        <v>-63.8</v>
      </c>
      <c r="L385" s="12" t="n">
        <f aca="false">ROUND(I385*J385,2)</f>
        <v>-63.8</v>
      </c>
      <c r="M385" s="12" t="n">
        <f aca="false">K385-L385</f>
        <v>0</v>
      </c>
      <c r="N385" s="12" t="n">
        <f aca="false">IF(F385="Promotional Incentive",0,I385)</f>
        <v>-638</v>
      </c>
      <c r="O385" s="12" t="n">
        <f aca="false">IF(F385="Promotional Incentive",0,K385)</f>
        <v>-63.8</v>
      </c>
      <c r="P385" s="11" t="s">
        <v>645</v>
      </c>
      <c r="Q385" s="2"/>
    </row>
    <row r="386" customFormat="false" ht="15" hidden="false" customHeight="false" outlineLevel="0" collapsed="false">
      <c r="A386" s="2"/>
      <c r="B386" s="2"/>
      <c r="C386" s="2"/>
      <c r="D386" s="2"/>
      <c r="E386" s="2"/>
      <c r="F386" s="2"/>
      <c r="G386" s="2"/>
      <c r="H386" s="2"/>
      <c r="I386" s="2"/>
      <c r="J386" s="2"/>
      <c r="K386" s="2"/>
      <c r="L386" s="2"/>
      <c r="M386" s="2"/>
      <c r="N386" s="2"/>
      <c r="O386" s="2"/>
      <c r="P386" s="2"/>
      <c r="Q386" s="2"/>
    </row>
    <row r="387" customFormat="false" ht="15" hidden="false" customHeight="false" outlineLevel="0" collapsed="false">
      <c r="A387" s="34" t="s">
        <v>1286</v>
      </c>
      <c r="B387" s="34"/>
      <c r="C387" s="34"/>
      <c r="D387" s="34"/>
      <c r="E387" s="34"/>
      <c r="F387" s="34"/>
      <c r="G387" s="34"/>
      <c r="H387" s="35" t="n">
        <f aca="false">SUM(H2:H385)</f>
        <v>181160.15</v>
      </c>
      <c r="I387" s="34"/>
      <c r="J387" s="34"/>
      <c r="K387" s="35" t="n">
        <f aca="false">SUM(K2:K385)</f>
        <v>18927.56</v>
      </c>
      <c r="L387" s="35" t="n">
        <f aca="false">SUM(L2:L385)</f>
        <v>18927.63</v>
      </c>
      <c r="M387" s="35" t="n">
        <f aca="false">SUM(M2:M385)</f>
        <v>-0.0700000000000012</v>
      </c>
      <c r="N387" s="35" t="n">
        <f aca="false">SUM(N2:N385)</f>
        <v>179932.46</v>
      </c>
      <c r="O387" s="35" t="n">
        <f aca="false">SUM(O2:O385)</f>
        <v>18920.67</v>
      </c>
      <c r="P387" s="34"/>
      <c r="Q387" s="34"/>
    </row>
    <row r="388" customFormat="false" ht="15" hidden="false" customHeight="false" outlineLevel="0" collapsed="false">
      <c r="A388" s="34" t="s">
        <v>1287</v>
      </c>
      <c r="B388" s="34"/>
      <c r="C388" s="34"/>
      <c r="D388" s="34"/>
      <c r="E388" s="34"/>
      <c r="F388" s="34"/>
      <c r="G388" s="34"/>
      <c r="H388" s="35" t="n">
        <f aca="false">SUMIF($P$2:$P$385,"YES",H2:H385)</f>
        <v>70559.26</v>
      </c>
      <c r="I388" s="34"/>
      <c r="J388" s="34"/>
      <c r="K388" s="35" t="n">
        <f aca="false">SUMIF($P$2:$P$385,"YES",K2:K385)</f>
        <v>6614.53</v>
      </c>
      <c r="L388" s="35" t="n">
        <f aca="false">SUMIF($P$2:$P$385,"YES",L2:L385)</f>
        <v>6614.55</v>
      </c>
      <c r="M388" s="35" t="n">
        <f aca="false">SUMIF($P$2:$P$385,"YES",M2:M385)</f>
        <v>-0.0200000000000005</v>
      </c>
      <c r="N388" s="35" t="n">
        <f aca="false">SUMIF($P$2:$P$385,"YES",N2:N385)</f>
        <v>62233.03</v>
      </c>
      <c r="O388" s="35" t="n">
        <f aca="false">SUMIF($P$2:$P$385,"YES",O2:O385)</f>
        <v>6361.68</v>
      </c>
      <c r="P388" s="34"/>
      <c r="Q388" s="34"/>
    </row>
  </sheetData>
  <autoFilter ref="A1:Q3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32"/>
    <col collapsed="false" customWidth="true" hidden="false" outlineLevel="0" max="4" min="4" style="0" width="12"/>
    <col collapsed="false" customWidth="true" hidden="false" outlineLevel="0" max="5" min="5" style="0" width="14"/>
    <col collapsed="false" customWidth="true" hidden="false" outlineLevel="0" max="7" min="6" style="0" width="20"/>
    <col collapsed="false" customWidth="true" hidden="false" outlineLevel="0" max="8" min="8" style="0" width="24"/>
    <col collapsed="false" customWidth="true" hidden="false" outlineLevel="0" max="9" min="9" style="0" width="14"/>
    <col collapsed="false" customWidth="true" hidden="false" outlineLevel="0" max="10" min="10" style="0" width="15"/>
    <col collapsed="false" customWidth="true" hidden="false" outlineLevel="0" max="13" min="11" style="0" width="20"/>
  </cols>
  <sheetData>
    <row r="1" customFormat="false" ht="16.15" hidden="false" customHeight="false" outlineLevel="0" collapsed="false">
      <c r="A1" s="36" t="s">
        <v>1288</v>
      </c>
      <c r="B1" s="2"/>
      <c r="C1" s="2"/>
      <c r="D1" s="2"/>
      <c r="E1" s="2"/>
      <c r="F1" s="2"/>
      <c r="G1" s="2"/>
      <c r="H1" s="2"/>
      <c r="I1" s="2"/>
      <c r="J1" s="2"/>
      <c r="K1" s="2"/>
      <c r="L1" s="2"/>
      <c r="M1" s="2"/>
    </row>
    <row r="2" customFormat="false" ht="15" hidden="false" customHeight="false" outlineLevel="0" collapsed="false">
      <c r="A2" s="2"/>
      <c r="B2" s="2"/>
      <c r="C2" s="2"/>
      <c r="D2" s="2"/>
      <c r="E2" s="2"/>
      <c r="F2" s="2"/>
      <c r="G2" s="2"/>
      <c r="H2" s="2"/>
      <c r="I2" s="2"/>
      <c r="J2" s="2"/>
      <c r="K2" s="2"/>
      <c r="L2" s="2"/>
      <c r="M2" s="2"/>
    </row>
    <row r="3" customFormat="false" ht="42" hidden="false" customHeight="true" outlineLevel="0" collapsed="false">
      <c r="A3" s="5" t="s">
        <v>8</v>
      </c>
      <c r="B3" s="5" t="s">
        <v>580</v>
      </c>
      <c r="C3" s="5" t="s">
        <v>1289</v>
      </c>
      <c r="D3" s="5" t="s">
        <v>1290</v>
      </c>
      <c r="E3" s="5" t="s">
        <v>1291</v>
      </c>
      <c r="F3" s="5" t="s">
        <v>1292</v>
      </c>
      <c r="G3" s="5" t="s">
        <v>1293</v>
      </c>
      <c r="H3" s="5" t="s">
        <v>1294</v>
      </c>
      <c r="I3" s="5" t="s">
        <v>1295</v>
      </c>
      <c r="J3" s="5" t="s">
        <v>1296</v>
      </c>
      <c r="K3" s="5" t="s">
        <v>1297</v>
      </c>
      <c r="L3" s="5" t="s">
        <v>1298</v>
      </c>
      <c r="M3" s="5" t="s">
        <v>1299</v>
      </c>
    </row>
    <row r="4" customFormat="false" ht="15" hidden="false" customHeight="false" outlineLevel="0" collapsed="false">
      <c r="A4" s="2" t="s">
        <v>44</v>
      </c>
      <c r="B4" s="2" t="s">
        <v>47</v>
      </c>
      <c r="C4" s="2" t="s">
        <v>1300</v>
      </c>
      <c r="D4" s="11" t="n">
        <v>36</v>
      </c>
      <c r="E4" s="11" t="n">
        <f aca="false">SUMPRODUCT(('Commission Summary'!$F$6:$F$74=$A4)*('Commission Summary'!$L$6:$L$74&gt;0))</f>
        <v>30</v>
      </c>
      <c r="F4" s="12" t="n">
        <f aca="false">SUMIF('Commission Summary'!$F$6:$F$74,$A4,'Commission Summary'!$N$6:$N$74)</f>
        <v>42357.06</v>
      </c>
      <c r="G4" s="12" t="n">
        <f aca="false">SUMIF('Commission Summary'!$F$6:$F$74,$A4,'Commission Summary'!$O$6:$O$74)</f>
        <v>4351.14</v>
      </c>
      <c r="H4" s="12" t="n">
        <f aca="false">SUMIF('Transaction Detail'!$B$2:$B$385,$A4,'Transaction Detail'!$K$2:$K$385)</f>
        <v>14289.02</v>
      </c>
      <c r="I4" s="14" t="n">
        <f aca="false">IF(H4=0,"",G4/H4)</f>
        <v>0.304509336539525</v>
      </c>
      <c r="J4" s="11" t="n">
        <v>25</v>
      </c>
      <c r="K4" s="12" t="n">
        <f aca="false">'Book Activity by Carrier'!J31</f>
        <v>64.35</v>
      </c>
      <c r="L4" s="12" t="n">
        <f aca="false">SUMIFS('Book Activity by Carrier'!$F$135:$F$162,'Book Activity by Carrier'!$C$135:$C$162,"Progressive",'Book Activity by Carrier'!$J$135:$J$162,"YES")</f>
        <v>0</v>
      </c>
      <c r="M4" s="12" t="n">
        <f aca="false">G4+K4+L4</f>
        <v>4415.49</v>
      </c>
    </row>
    <row r="5" customFormat="false" ht="15" hidden="false" customHeight="false" outlineLevel="0" collapsed="false">
      <c r="A5" s="2" t="s">
        <v>27</v>
      </c>
      <c r="B5" s="2" t="s">
        <v>30</v>
      </c>
      <c r="C5" s="2" t="s">
        <v>1301</v>
      </c>
      <c r="D5" s="11" t="n">
        <v>9</v>
      </c>
      <c r="E5" s="11" t="n">
        <f aca="false">SUMPRODUCT(('Commission Summary'!$F$6:$F$74=$A5)*('Commission Summary'!$L$6:$L$74&gt;0))</f>
        <v>5</v>
      </c>
      <c r="F5" s="12" t="n">
        <f aca="false">SUMIF('Commission Summary'!$F$6:$F$74,$A5,'Commission Summary'!$N$6:$N$74)</f>
        <v>5802</v>
      </c>
      <c r="G5" s="12" t="n">
        <f aca="false">SUMIF('Commission Summary'!$F$6:$F$74,$A5,'Commission Summary'!$O$6:$O$74)</f>
        <v>580.2</v>
      </c>
      <c r="H5" s="12" t="n">
        <f aca="false">SUMIF('Transaction Detail'!$B$2:$B$385,$A5,'Transaction Detail'!$K$2:$K$385)</f>
        <v>656.6</v>
      </c>
      <c r="I5" s="14" t="n">
        <f aca="false">IF(H5=0,"",G5/H5)</f>
        <v>0.883643009442583</v>
      </c>
      <c r="J5" s="11" t="n">
        <v>8</v>
      </c>
      <c r="K5" s="12" t="n">
        <f aca="false">'Book Activity by Carrier'!J42</f>
        <v>-692.6</v>
      </c>
      <c r="L5" s="12" t="n">
        <f aca="false">SUMIFS('Book Activity by Carrier'!$F$135:$F$162,'Book Activity by Carrier'!$C$135:$C$162,"Infinity",'Book Activity by Carrier'!$J$135:$J$162,"YES")</f>
        <v>0</v>
      </c>
      <c r="M5" s="12" t="n">
        <f aca="false">G5+K5+L5</f>
        <v>-112.4</v>
      </c>
    </row>
    <row r="6" customFormat="false" ht="15" hidden="false" customHeight="false" outlineLevel="0" collapsed="false">
      <c r="A6" s="2" t="s">
        <v>37</v>
      </c>
      <c r="B6" s="2" t="s">
        <v>40</v>
      </c>
      <c r="C6" s="2" t="s">
        <v>1302</v>
      </c>
      <c r="D6" s="11" t="n">
        <v>10</v>
      </c>
      <c r="E6" s="11" t="n">
        <f aca="false">SUMPRODUCT(('Commission Summary'!$F$6:$F$74=$A6)*('Commission Summary'!$L$6:$L$74&gt;0))</f>
        <v>10</v>
      </c>
      <c r="F6" s="12" t="n">
        <f aca="false">SUMIF('Commission Summary'!$F$6:$F$74,$A6,'Commission Summary'!$N$6:$N$74)</f>
        <v>9025.3</v>
      </c>
      <c r="G6" s="12" t="n">
        <f aca="false">SUMIF('Commission Summary'!$F$6:$F$74,$A6,'Commission Summary'!$O$6:$O$74)</f>
        <v>902.53</v>
      </c>
      <c r="H6" s="12" t="n">
        <f aca="false">SUMIF('Transaction Detail'!$B$2:$B$385,$A6,'Transaction Detail'!$K$2:$K$385)</f>
        <v>444.33</v>
      </c>
      <c r="I6" s="14" t="n">
        <f aca="false">IF(H6=0,"",G6/H6)</f>
        <v>2.03121553800104</v>
      </c>
      <c r="J6" s="11" t="n">
        <v>58</v>
      </c>
      <c r="K6" s="12" t="n">
        <f aca="false">'Book Activity by Carrier'!J103</f>
        <v>-657.67</v>
      </c>
      <c r="L6" s="12" t="n">
        <f aca="false">SUMIFS('Book Activity by Carrier'!$F$135:$F$162,'Book Activity by Carrier'!$C$135:$C$162,"United Auto",'Book Activity by Carrier'!$J$135:$J$162,"YES")</f>
        <v>0</v>
      </c>
      <c r="M6" s="12" t="n">
        <f aca="false">G6+K6+L6</f>
        <v>244.86</v>
      </c>
    </row>
    <row r="7" customFormat="false" ht="15" hidden="false" customHeight="false" outlineLevel="0" collapsed="false">
      <c r="A7" s="2" t="s">
        <v>208</v>
      </c>
      <c r="B7" s="2" t="s">
        <v>210</v>
      </c>
      <c r="C7" s="2" t="s">
        <v>1303</v>
      </c>
      <c r="D7" s="11" t="n">
        <v>2</v>
      </c>
      <c r="E7" s="11" t="n">
        <f aca="false">SUMPRODUCT(('Commission Summary'!$F$6:$F$74=$A7)*('Commission Summary'!$L$6:$L$74&gt;0))</f>
        <v>2</v>
      </c>
      <c r="F7" s="12" t="n">
        <f aca="false">SUMIF('Commission Summary'!$F$6:$F$74,$A7,'Commission Summary'!$N$6:$N$74)</f>
        <v>2294</v>
      </c>
      <c r="G7" s="12" t="n">
        <f aca="false">SUMIF('Commission Summary'!$F$6:$F$74,$A7,'Commission Summary'!$O$6:$O$74)</f>
        <v>252.34</v>
      </c>
      <c r="H7" s="12" t="n">
        <f aca="false">SUMIF('Transaction Detail'!$B$2:$B$385,$A7,'Transaction Detail'!$K$2:$K$385)</f>
        <v>326.21</v>
      </c>
      <c r="I7" s="14" t="n">
        <f aca="false">IF(H7=0,"",G7/H7)</f>
        <v>0.773550780172282</v>
      </c>
      <c r="J7" s="11" t="n">
        <v>2</v>
      </c>
      <c r="K7" s="12" t="n">
        <f aca="false">'Book Activity by Carrier'!J108</f>
        <v>-60.11</v>
      </c>
      <c r="L7" s="12" t="n">
        <f aca="false">SUMIFS('Book Activity by Carrier'!$F$135:$F$162,'Book Activity by Carrier'!$C$135:$C$162,"Ocean Harbor",'Book Activity by Carrier'!$J$135:$J$162,"YES")</f>
        <v>-8.36</v>
      </c>
      <c r="M7" s="12" t="n">
        <f aca="false">G7+K7+L7</f>
        <v>183.87</v>
      </c>
    </row>
    <row r="8" customFormat="false" ht="15" hidden="false" customHeight="false" outlineLevel="0" collapsed="false">
      <c r="A8" s="2" t="s">
        <v>236</v>
      </c>
      <c r="B8" s="2" t="s">
        <v>238</v>
      </c>
      <c r="C8" s="2" t="s">
        <v>1301</v>
      </c>
      <c r="D8" s="11" t="n">
        <v>3</v>
      </c>
      <c r="E8" s="11" t="n">
        <f aca="false">SUMPRODUCT(('Commission Summary'!$F$6:$F$74=$A8)*('Commission Summary'!$L$6:$L$74&gt;0))</f>
        <v>2</v>
      </c>
      <c r="F8" s="12" t="n">
        <f aca="false">SUMIF('Commission Summary'!$F$6:$F$74,$A8,'Commission Summary'!$N$6:$N$74)</f>
        <v>2334</v>
      </c>
      <c r="G8" s="12" t="n">
        <f aca="false">SUMIF('Commission Summary'!$F$6:$F$74,$A8,'Commission Summary'!$O$6:$O$74)</f>
        <v>233.4</v>
      </c>
      <c r="H8" s="12" t="n">
        <f aca="false">SUMIF('Transaction Detail'!$B$2:$B$385,$A8,'Transaction Detail'!$K$2:$K$385)</f>
        <v>871.27</v>
      </c>
      <c r="I8" s="14" t="n">
        <f aca="false">IF(H8=0,"",G8/H8)</f>
        <v>0.267884811826414</v>
      </c>
      <c r="J8" s="11" t="n">
        <v>7</v>
      </c>
      <c r="K8" s="12" t="n">
        <f aca="false">'Book Activity by Carrier'!J118</f>
        <v>-202.23</v>
      </c>
      <c r="L8" s="12" t="n">
        <f aca="false">SUMIFS('Book Activity by Carrier'!$F$135:$F$162,'Book Activity by Carrier'!$C$135:$C$162,"National General",'Book Activity by Carrier'!$J$135:$J$162,"YES")</f>
        <v>-35.06</v>
      </c>
      <c r="M8" s="12" t="n">
        <f aca="false">G8+K8+L8</f>
        <v>-3.88999999999999</v>
      </c>
    </row>
    <row r="9" customFormat="false" ht="15" hidden="false" customHeight="false" outlineLevel="0" collapsed="false">
      <c r="A9" s="2" t="s">
        <v>250</v>
      </c>
      <c r="B9" s="2" t="s">
        <v>253</v>
      </c>
      <c r="C9" s="2" t="s">
        <v>1304</v>
      </c>
      <c r="D9" s="11" t="n">
        <v>3</v>
      </c>
      <c r="E9" s="11" t="n">
        <f aca="false">SUMPRODUCT(('Commission Summary'!$F$6:$F$74=$A9)*('Commission Summary'!$L$6:$L$74&gt;0))</f>
        <v>3</v>
      </c>
      <c r="F9" s="12" t="n">
        <f aca="false">SUMIF('Commission Summary'!$F$6:$F$74,$A9,'Commission Summary'!$N$6:$N$74)</f>
        <v>420.67</v>
      </c>
      <c r="G9" s="12" t="n">
        <f aca="false">SUMIF('Commission Summary'!$F$6:$F$74,$A9,'Commission Summary'!$O$6:$O$74)</f>
        <v>42.07</v>
      </c>
      <c r="H9" s="12" t="n">
        <f aca="false">SUMIF('Transaction Detail'!$B$2:$B$385,$A9,'Transaction Detail'!$K$2:$K$385)</f>
        <v>72.34</v>
      </c>
      <c r="I9" s="14" t="n">
        <f aca="false">IF(H9=0,"",G9/H9)</f>
        <v>0.581559303290019</v>
      </c>
      <c r="J9" s="11" t="n">
        <v>1</v>
      </c>
      <c r="K9" s="12" t="n">
        <f aca="false">'Book Activity by Carrier'!J122</f>
        <v>0.07</v>
      </c>
      <c r="L9" s="12" t="n">
        <f aca="false">SUMIFS('Book Activity by Carrier'!$F$135:$F$162,'Book Activity by Carrier'!$C$135:$C$162,"AmWins",'Book Activity by Carrier'!$J$135:$J$162,"YES")</f>
        <v>0</v>
      </c>
      <c r="M9" s="12" t="n">
        <f aca="false">G9+K9+L9</f>
        <v>42.14</v>
      </c>
    </row>
    <row r="10" customFormat="false" ht="15" hidden="false" customHeight="false" outlineLevel="0" collapsed="false">
      <c r="A10" s="2" t="s">
        <v>496</v>
      </c>
      <c r="B10" s="2" t="s">
        <v>498</v>
      </c>
      <c r="C10" s="2" t="s">
        <v>1305</v>
      </c>
      <c r="D10" s="11" t="n">
        <v>0</v>
      </c>
      <c r="E10" s="11" t="n">
        <v>0</v>
      </c>
      <c r="F10" s="12" t="n">
        <v>0</v>
      </c>
      <c r="G10" s="12" t="n">
        <v>0</v>
      </c>
      <c r="H10" s="12" t="n">
        <f aca="false">SUMIF('Transaction Detail'!$B$2:$B$385,$A10,'Transaction Detail'!$K$2:$K$385)</f>
        <v>2267.79</v>
      </c>
      <c r="I10" s="14"/>
      <c r="J10" s="11" t="n">
        <v>2</v>
      </c>
      <c r="K10" s="12" t="n">
        <f aca="false">'Book Activity by Carrier'!J127</f>
        <v>-45.78</v>
      </c>
      <c r="L10" s="12" t="n">
        <f aca="false">SUMIFS('Book Activity by Carrier'!$F$135:$F$162,'Book Activity by Carrier'!$C$135:$C$162,"GEICO",'Book Activity by Carrier'!$J$135:$J$162,"YES")</f>
        <v>0</v>
      </c>
      <c r="M10" s="12" t="n">
        <f aca="false">G10+K10+L10</f>
        <v>-45.78</v>
      </c>
    </row>
    <row r="11" customFormat="false" ht="15" hidden="false" customHeight="false" outlineLevel="0" collapsed="false">
      <c r="A11" s="37" t="s">
        <v>1306</v>
      </c>
      <c r="B11" s="37"/>
      <c r="C11" s="37"/>
      <c r="D11" s="38" t="n">
        <f aca="false">SUM(D4:D10)</f>
        <v>63</v>
      </c>
      <c r="E11" s="38" t="n">
        <f aca="false">SUM(E4:E10)</f>
        <v>52</v>
      </c>
      <c r="F11" s="39" t="n">
        <f aca="false">SUM(F4:F10)</f>
        <v>62233.03</v>
      </c>
      <c r="G11" s="39" t="n">
        <f aca="false">SUM(G4:G10)</f>
        <v>6361.68</v>
      </c>
      <c r="H11" s="39" t="n">
        <f aca="false">SUM(H4:H10)</f>
        <v>18927.56</v>
      </c>
      <c r="I11" s="40" t="n">
        <f aca="false">IF(H11=0,"",G11/H11)</f>
        <v>0.336106714230466</v>
      </c>
      <c r="J11" s="38" t="n">
        <f aca="false">SUM(J4:J10)</f>
        <v>103</v>
      </c>
      <c r="K11" s="39" t="n">
        <f aca="false">SUM(K4:K10)</f>
        <v>-1593.97</v>
      </c>
      <c r="L11" s="39" t="n">
        <f aca="false">SUM(L4:L10)</f>
        <v>-43.42</v>
      </c>
      <c r="M11" s="39" t="n">
        <f aca="false">SUM(M4:M10)</f>
        <v>4724.29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28"/>
    <col collapsed="false" customWidth="true" hidden="false" outlineLevel="0" max="4" min="4" style="0" width="22"/>
    <col collapsed="false" customWidth="true" hidden="false" outlineLevel="0" max="5" min="5" style="0" width="14"/>
    <col collapsed="false" customWidth="true" hidden="false" outlineLevel="0" max="6" min="6" style="0" width="15"/>
    <col collapsed="false" customWidth="true" hidden="false" outlineLevel="0" max="7" min="7" style="0" width="12"/>
    <col collapsed="false" customWidth="true" hidden="false" outlineLevel="0" max="8" min="8" style="0" width="17"/>
    <col collapsed="false" customWidth="true" hidden="false" outlineLevel="0" max="9" min="9" style="0" width="16"/>
    <col collapsed="false" customWidth="true" hidden="false" outlineLevel="0" max="10" min="10" style="0" width="13"/>
    <col collapsed="false" customWidth="true" hidden="false" outlineLevel="0" max="11" min="11" style="0" width="18"/>
  </cols>
  <sheetData>
    <row r="1" customFormat="false" ht="16.15" hidden="false" customHeight="false" outlineLevel="0" collapsed="false">
      <c r="A1" s="36" t="s">
        <v>1307</v>
      </c>
      <c r="B1" s="2"/>
      <c r="C1" s="2"/>
      <c r="D1" s="2"/>
      <c r="E1" s="2"/>
      <c r="F1" s="2"/>
      <c r="G1" s="2"/>
      <c r="H1" s="2"/>
      <c r="I1" s="2"/>
      <c r="J1" s="2"/>
      <c r="K1" s="2"/>
      <c r="L1" s="2"/>
    </row>
    <row r="2" customFormat="false" ht="30" hidden="false" customHeight="true" outlineLevel="0" collapsed="false">
      <c r="A2" s="41" t="s">
        <v>1308</v>
      </c>
      <c r="B2" s="41"/>
      <c r="C2" s="41"/>
      <c r="D2" s="41"/>
      <c r="E2" s="41"/>
      <c r="F2" s="41"/>
      <c r="G2" s="41"/>
      <c r="H2" s="41"/>
      <c r="I2" s="41"/>
      <c r="J2" s="41"/>
      <c r="K2" s="41"/>
      <c r="L2" s="2"/>
    </row>
    <row r="3" customFormat="false" ht="15" hidden="false" customHeight="false" outlineLevel="0" collapsed="false">
      <c r="A3" s="2"/>
      <c r="B3" s="2"/>
      <c r="C3" s="2"/>
      <c r="D3" s="2"/>
      <c r="E3" s="2"/>
      <c r="F3" s="2"/>
      <c r="G3" s="2"/>
      <c r="H3" s="2"/>
      <c r="I3" s="2"/>
      <c r="J3" s="2"/>
      <c r="K3" s="2"/>
      <c r="L3" s="2"/>
    </row>
    <row r="4" customFormat="false" ht="31.5" hidden="false" customHeight="true" outlineLevel="0" collapsed="false">
      <c r="A4" s="5" t="s">
        <v>1309</v>
      </c>
      <c r="B4" s="5" t="s">
        <v>9</v>
      </c>
      <c r="C4" s="5" t="s">
        <v>582</v>
      </c>
      <c r="D4" s="5" t="s">
        <v>583</v>
      </c>
      <c r="E4" s="5" t="s">
        <v>584</v>
      </c>
      <c r="F4" s="5" t="s">
        <v>1310</v>
      </c>
      <c r="G4" s="5" t="s">
        <v>1311</v>
      </c>
      <c r="H4" s="5" t="s">
        <v>15</v>
      </c>
      <c r="I4" s="5" t="s">
        <v>587</v>
      </c>
      <c r="J4" s="5" t="s">
        <v>1312</v>
      </c>
      <c r="K4" s="5" t="s">
        <v>1313</v>
      </c>
      <c r="L4" s="2" t="s">
        <v>1314</v>
      </c>
    </row>
    <row r="5" customFormat="false" ht="15" hidden="false" customHeight="false" outlineLevel="0" collapsed="false">
      <c r="A5" s="6" t="s">
        <v>1315</v>
      </c>
      <c r="B5" s="7"/>
      <c r="C5" s="7"/>
      <c r="D5" s="7"/>
      <c r="E5" s="7"/>
      <c r="F5" s="9"/>
      <c r="G5" s="10"/>
      <c r="H5" s="9"/>
      <c r="I5" s="9"/>
      <c r="J5" s="7"/>
      <c r="K5" s="7"/>
      <c r="L5" s="7"/>
    </row>
    <row r="6" customFormat="false" ht="15" hidden="false" customHeight="false" outlineLevel="0" collapsed="false">
      <c r="A6" s="2" t="s">
        <v>289</v>
      </c>
      <c r="B6" s="2" t="s">
        <v>292</v>
      </c>
      <c r="C6" s="2" t="s">
        <v>650</v>
      </c>
      <c r="D6" s="2" t="s">
        <v>644</v>
      </c>
      <c r="E6" s="2" t="s">
        <v>602</v>
      </c>
      <c r="F6" s="32" t="n">
        <v>299.97</v>
      </c>
      <c r="G6" s="14" t="n">
        <f aca="false">IF(D6="Promotional Incentive",0,F6)</f>
        <v>299.97</v>
      </c>
      <c r="H6" s="32" t="n">
        <v>0.1</v>
      </c>
      <c r="I6" s="12" t="n">
        <v>30</v>
      </c>
      <c r="J6" s="12" t="n">
        <f aca="false">IF(D6="Promotional Incentive",0,I6)</f>
        <v>30</v>
      </c>
      <c r="K6" s="2" t="s">
        <v>290</v>
      </c>
      <c r="L6" s="2" t="s">
        <v>44</v>
      </c>
    </row>
    <row r="7" customFormat="false" ht="15" hidden="false" customHeight="false" outlineLevel="0" collapsed="false">
      <c r="A7" s="2" t="s">
        <v>294</v>
      </c>
      <c r="B7" s="2" t="s">
        <v>296</v>
      </c>
      <c r="C7" s="2" t="s">
        <v>691</v>
      </c>
      <c r="D7" s="2" t="s">
        <v>110</v>
      </c>
      <c r="E7" s="2" t="s">
        <v>692</v>
      </c>
      <c r="F7" s="32" t="n">
        <v>1794</v>
      </c>
      <c r="G7" s="14" t="n">
        <f aca="false">IF(D7="Promotional Incentive",0,F7)</f>
        <v>1794</v>
      </c>
      <c r="H7" s="32" t="n">
        <v>0.1</v>
      </c>
      <c r="I7" s="12" t="n">
        <v>179.4</v>
      </c>
      <c r="J7" s="12" t="n">
        <f aca="false">IF(D7="Promotional Incentive",0,I7)</f>
        <v>179.4</v>
      </c>
      <c r="K7" s="2" t="s">
        <v>295</v>
      </c>
      <c r="L7" s="2" t="s">
        <v>44</v>
      </c>
    </row>
    <row r="8" customFormat="false" ht="15" hidden="false" customHeight="false" outlineLevel="0" collapsed="false">
      <c r="A8" s="2" t="s">
        <v>298</v>
      </c>
      <c r="B8" s="2" t="s">
        <v>299</v>
      </c>
      <c r="C8" s="2" t="s">
        <v>707</v>
      </c>
      <c r="D8" s="2" t="s">
        <v>682</v>
      </c>
      <c r="E8" s="2" t="s">
        <v>523</v>
      </c>
      <c r="F8" s="32" t="n">
        <v>-592.29</v>
      </c>
      <c r="G8" s="14" t="n">
        <f aca="false">IF(D8="Promotional Incentive",0,F8)</f>
        <v>-592.29</v>
      </c>
      <c r="H8" s="32" t="n">
        <v>0.1</v>
      </c>
      <c r="I8" s="12" t="n">
        <v>-59.23</v>
      </c>
      <c r="J8" s="12" t="n">
        <f aca="false">IF(D8="Promotional Incentive",0,I8)</f>
        <v>-59.23</v>
      </c>
      <c r="K8" s="2" t="s">
        <v>290</v>
      </c>
      <c r="L8" s="2" t="s">
        <v>44</v>
      </c>
    </row>
    <row r="9" customFormat="false" ht="15" hidden="false" customHeight="false" outlineLevel="0" collapsed="false">
      <c r="A9" s="2" t="s">
        <v>301</v>
      </c>
      <c r="B9" s="2" t="s">
        <v>302</v>
      </c>
      <c r="C9" s="2" t="s">
        <v>712</v>
      </c>
      <c r="D9" s="2" t="s">
        <v>644</v>
      </c>
      <c r="E9" s="2" t="s">
        <v>598</v>
      </c>
      <c r="F9" s="32" t="n">
        <v>0</v>
      </c>
      <c r="G9" s="14" t="n">
        <f aca="false">IF(D9="Promotional Incentive",0,F9)</f>
        <v>0</v>
      </c>
      <c r="H9" s="32" t="n">
        <v>0.1</v>
      </c>
      <c r="I9" s="12" t="n">
        <v>0</v>
      </c>
      <c r="J9" s="12" t="n">
        <f aca="false">IF(D9="Promotional Incentive",0,I9)</f>
        <v>0</v>
      </c>
      <c r="K9" s="2" t="s">
        <v>290</v>
      </c>
      <c r="L9" s="2" t="s">
        <v>44</v>
      </c>
    </row>
    <row r="10" customFormat="false" ht="15" hidden="false" customHeight="false" outlineLevel="0" collapsed="false">
      <c r="A10" s="2" t="s">
        <v>304</v>
      </c>
      <c r="B10" s="2" t="s">
        <v>306</v>
      </c>
      <c r="C10" s="2" t="s">
        <v>721</v>
      </c>
      <c r="D10" s="2" t="s">
        <v>597</v>
      </c>
      <c r="E10" s="2" t="s">
        <v>722</v>
      </c>
      <c r="F10" s="32" t="n">
        <v>-133.12</v>
      </c>
      <c r="G10" s="14" t="n">
        <f aca="false">IF(D10="Promotional Incentive",0,F10)</f>
        <v>-133.12</v>
      </c>
      <c r="H10" s="32" t="n">
        <v>0.1</v>
      </c>
      <c r="I10" s="12" t="n">
        <v>-13.31</v>
      </c>
      <c r="J10" s="12" t="n">
        <f aca="false">IF(D10="Promotional Incentive",0,I10)</f>
        <v>-13.31</v>
      </c>
      <c r="K10" s="2" t="s">
        <v>305</v>
      </c>
      <c r="L10" s="2" t="s">
        <v>44</v>
      </c>
    </row>
    <row r="11" customFormat="false" ht="15" hidden="false" customHeight="false" outlineLevel="0" collapsed="false">
      <c r="A11" s="2" t="s">
        <v>308</v>
      </c>
      <c r="B11" s="2" t="s">
        <v>309</v>
      </c>
      <c r="C11" s="2" t="s">
        <v>724</v>
      </c>
      <c r="D11" s="2" t="s">
        <v>597</v>
      </c>
      <c r="E11" s="2" t="s">
        <v>612</v>
      </c>
      <c r="F11" s="32" t="n">
        <v>-26.08</v>
      </c>
      <c r="G11" s="14" t="n">
        <f aca="false">IF(D11="Promotional Incentive",0,F11)</f>
        <v>-26.08</v>
      </c>
      <c r="H11" s="32" t="n">
        <v>0.1</v>
      </c>
      <c r="I11" s="12" t="n">
        <v>-2.61</v>
      </c>
      <c r="J11" s="12" t="n">
        <f aca="false">IF(D11="Promotional Incentive",0,I11)</f>
        <v>-2.61</v>
      </c>
      <c r="K11" s="2" t="s">
        <v>305</v>
      </c>
      <c r="L11" s="2" t="s">
        <v>44</v>
      </c>
    </row>
    <row r="12" customFormat="false" ht="15" hidden="false" customHeight="false" outlineLevel="0" collapsed="false">
      <c r="A12" s="2" t="s">
        <v>311</v>
      </c>
      <c r="B12" s="2" t="s">
        <v>313</v>
      </c>
      <c r="C12" s="2" t="s">
        <v>734</v>
      </c>
      <c r="D12" s="2" t="s">
        <v>682</v>
      </c>
      <c r="E12" s="2" t="s">
        <v>689</v>
      </c>
      <c r="F12" s="32" t="n">
        <v>-736.55</v>
      </c>
      <c r="G12" s="14" t="n">
        <f aca="false">IF(D12="Promotional Incentive",0,F12)</f>
        <v>-736.55</v>
      </c>
      <c r="H12" s="32" t="n">
        <v>0.12</v>
      </c>
      <c r="I12" s="12" t="n">
        <v>-88.39</v>
      </c>
      <c r="J12" s="12" t="n">
        <f aca="false">IF(D12="Promotional Incentive",0,I12)</f>
        <v>-88.39</v>
      </c>
      <c r="K12" s="2" t="s">
        <v>312</v>
      </c>
      <c r="L12" s="2" t="s">
        <v>44</v>
      </c>
    </row>
    <row r="13" customFormat="false" ht="15" hidden="false" customHeight="false" outlineLevel="0" collapsed="false">
      <c r="A13" s="2" t="s">
        <v>315</v>
      </c>
      <c r="B13" s="2" t="s">
        <v>316</v>
      </c>
      <c r="C13" s="2" t="s">
        <v>739</v>
      </c>
      <c r="D13" s="2" t="s">
        <v>682</v>
      </c>
      <c r="E13" s="2" t="s">
        <v>689</v>
      </c>
      <c r="F13" s="32" t="n">
        <v>-579.3</v>
      </c>
      <c r="G13" s="14" t="n">
        <f aca="false">IF(D13="Promotional Incentive",0,F13)</f>
        <v>-579.3</v>
      </c>
      <c r="H13" s="32" t="n">
        <v>0.1</v>
      </c>
      <c r="I13" s="12" t="n">
        <v>-57.93</v>
      </c>
      <c r="J13" s="12" t="n">
        <f aca="false">IF(D13="Promotional Incentive",0,I13)</f>
        <v>-57.93</v>
      </c>
      <c r="K13" s="2" t="s">
        <v>312</v>
      </c>
      <c r="L13" s="2" t="s">
        <v>44</v>
      </c>
    </row>
    <row r="14" customFormat="false" ht="15" hidden="false" customHeight="false" outlineLevel="0" collapsed="false">
      <c r="A14" s="2" t="s">
        <v>318</v>
      </c>
      <c r="B14" s="2" t="s">
        <v>319</v>
      </c>
      <c r="C14" s="2" t="s">
        <v>749</v>
      </c>
      <c r="D14" s="2" t="s">
        <v>644</v>
      </c>
      <c r="E14" s="2" t="s">
        <v>722</v>
      </c>
      <c r="F14" s="32" t="n">
        <v>100.14</v>
      </c>
      <c r="G14" s="14" t="n">
        <f aca="false">IF(D14="Promotional Incentive",0,F14)</f>
        <v>100.14</v>
      </c>
      <c r="H14" s="32" t="n">
        <v>0.1</v>
      </c>
      <c r="I14" s="12" t="n">
        <v>10.01</v>
      </c>
      <c r="J14" s="12" t="n">
        <f aca="false">IF(D14="Promotional Incentive",0,I14)</f>
        <v>10.01</v>
      </c>
      <c r="K14" s="2" t="s">
        <v>312</v>
      </c>
      <c r="L14" s="2" t="s">
        <v>44</v>
      </c>
    </row>
    <row r="15" customFormat="false" ht="15" hidden="false" customHeight="false" outlineLevel="0" collapsed="false">
      <c r="A15" s="2" t="s">
        <v>318</v>
      </c>
      <c r="B15" s="2" t="s">
        <v>319</v>
      </c>
      <c r="C15" s="2" t="s">
        <v>749</v>
      </c>
      <c r="D15" s="2" t="s">
        <v>682</v>
      </c>
      <c r="E15" s="2" t="s">
        <v>750</v>
      </c>
      <c r="F15" s="32" t="n">
        <v>-1413.68</v>
      </c>
      <c r="G15" s="14" t="n">
        <f aca="false">IF(D15="Promotional Incentive",0,F15)</f>
        <v>-1413.68</v>
      </c>
      <c r="H15" s="32" t="n">
        <v>0.1</v>
      </c>
      <c r="I15" s="12" t="n">
        <v>-141.37</v>
      </c>
      <c r="J15" s="12" t="n">
        <f aca="false">IF(D15="Promotional Incentive",0,I15)</f>
        <v>-141.37</v>
      </c>
      <c r="K15" s="2" t="s">
        <v>312</v>
      </c>
      <c r="L15" s="2" t="s">
        <v>44</v>
      </c>
    </row>
    <row r="16" customFormat="false" ht="15" hidden="false" customHeight="false" outlineLevel="0" collapsed="false">
      <c r="A16" s="2" t="s">
        <v>321</v>
      </c>
      <c r="B16" s="2" t="s">
        <v>322</v>
      </c>
      <c r="C16" s="2" t="s">
        <v>774</v>
      </c>
      <c r="D16" s="2" t="s">
        <v>597</v>
      </c>
      <c r="E16" s="2" t="s">
        <v>604</v>
      </c>
      <c r="F16" s="32" t="n">
        <v>-33.64</v>
      </c>
      <c r="G16" s="14" t="n">
        <f aca="false">IF(D16="Promotional Incentive",0,F16)</f>
        <v>-33.64</v>
      </c>
      <c r="H16" s="32" t="n">
        <v>0.14</v>
      </c>
      <c r="I16" s="12" t="n">
        <v>-4.71</v>
      </c>
      <c r="J16" s="12" t="n">
        <f aca="false">IF(D16="Promotional Incentive",0,I16)</f>
        <v>-4.71</v>
      </c>
      <c r="K16" s="2" t="s">
        <v>312</v>
      </c>
      <c r="L16" s="2" t="s">
        <v>44</v>
      </c>
    </row>
    <row r="17" customFormat="false" ht="15" hidden="false" customHeight="false" outlineLevel="0" collapsed="false">
      <c r="A17" s="2" t="s">
        <v>324</v>
      </c>
      <c r="B17" s="2" t="s">
        <v>326</v>
      </c>
      <c r="C17" s="2" t="s">
        <v>816</v>
      </c>
      <c r="D17" s="2" t="s">
        <v>682</v>
      </c>
      <c r="E17" s="2" t="s">
        <v>817</v>
      </c>
      <c r="F17" s="32" t="n">
        <v>-744.72</v>
      </c>
      <c r="G17" s="14" t="n">
        <f aca="false">IF(D17="Promotional Incentive",0,F17)</f>
        <v>-744.72</v>
      </c>
      <c r="H17" s="32" t="n">
        <v>0.1</v>
      </c>
      <c r="I17" s="12" t="n">
        <v>-74.47</v>
      </c>
      <c r="J17" s="12" t="n">
        <f aca="false">IF(D17="Promotional Incentive",0,I17)</f>
        <v>-74.47</v>
      </c>
      <c r="K17" s="2" t="s">
        <v>325</v>
      </c>
      <c r="L17" s="2" t="s">
        <v>44</v>
      </c>
    </row>
    <row r="18" customFormat="false" ht="15" hidden="false" customHeight="false" outlineLevel="0" collapsed="false">
      <c r="A18" s="2" t="s">
        <v>328</v>
      </c>
      <c r="B18" s="2" t="s">
        <v>329</v>
      </c>
      <c r="C18" s="2" t="s">
        <v>885</v>
      </c>
      <c r="D18" s="2" t="s">
        <v>597</v>
      </c>
      <c r="E18" s="2" t="s">
        <v>750</v>
      </c>
      <c r="F18" s="32" t="n">
        <v>-177</v>
      </c>
      <c r="G18" s="14" t="n">
        <f aca="false">IF(D18="Promotional Incentive",0,F18)</f>
        <v>-177</v>
      </c>
      <c r="H18" s="32" t="n">
        <v>0.12</v>
      </c>
      <c r="I18" s="12" t="n">
        <v>-21.24</v>
      </c>
      <c r="J18" s="12" t="n">
        <f aca="false">IF(D18="Promotional Incentive",0,I18)</f>
        <v>-21.24</v>
      </c>
      <c r="K18" s="2" t="s">
        <v>295</v>
      </c>
      <c r="L18" s="2" t="s">
        <v>44</v>
      </c>
    </row>
    <row r="19" customFormat="false" ht="15" hidden="false" customHeight="false" outlineLevel="0" collapsed="false">
      <c r="A19" s="2" t="s">
        <v>328</v>
      </c>
      <c r="B19" s="2" t="s">
        <v>329</v>
      </c>
      <c r="C19" s="2" t="s">
        <v>885</v>
      </c>
      <c r="D19" s="2" t="s">
        <v>25</v>
      </c>
      <c r="E19" s="2" t="s">
        <v>750</v>
      </c>
      <c r="F19" s="32" t="n">
        <v>1404</v>
      </c>
      <c r="G19" s="14" t="n">
        <f aca="false">IF(D19="Promotional Incentive",0,F19)</f>
        <v>1404</v>
      </c>
      <c r="H19" s="32" t="n">
        <v>0.12</v>
      </c>
      <c r="I19" s="12" t="n">
        <v>168.48</v>
      </c>
      <c r="J19" s="12" t="n">
        <f aca="false">IF(D19="Promotional Incentive",0,I19)</f>
        <v>168.48</v>
      </c>
      <c r="K19" s="2" t="s">
        <v>295</v>
      </c>
      <c r="L19" s="2" t="s">
        <v>44</v>
      </c>
    </row>
    <row r="20" customFormat="false" ht="15" hidden="false" customHeight="false" outlineLevel="0" collapsed="false">
      <c r="A20" s="2" t="s">
        <v>331</v>
      </c>
      <c r="B20" s="2" t="s">
        <v>332</v>
      </c>
      <c r="C20" s="2" t="s">
        <v>910</v>
      </c>
      <c r="D20" s="2" t="s">
        <v>597</v>
      </c>
      <c r="E20" s="2" t="s">
        <v>722</v>
      </c>
      <c r="F20" s="32" t="n">
        <v>-10.18</v>
      </c>
      <c r="G20" s="14" t="n">
        <f aca="false">IF(D20="Promotional Incentive",0,F20)</f>
        <v>-10.18</v>
      </c>
      <c r="H20" s="32" t="n">
        <v>0.1</v>
      </c>
      <c r="I20" s="12" t="n">
        <v>-1.02</v>
      </c>
      <c r="J20" s="12" t="n">
        <f aca="false">IF(D20="Promotional Incentive",0,I20)</f>
        <v>-1.02</v>
      </c>
      <c r="K20" s="2" t="s">
        <v>312</v>
      </c>
      <c r="L20" s="2" t="s">
        <v>44</v>
      </c>
    </row>
    <row r="21" customFormat="false" ht="15" hidden="false" customHeight="false" outlineLevel="0" collapsed="false">
      <c r="A21" s="2" t="s">
        <v>331</v>
      </c>
      <c r="B21" s="2" t="s">
        <v>332</v>
      </c>
      <c r="C21" s="2" t="s">
        <v>910</v>
      </c>
      <c r="D21" s="2" t="s">
        <v>597</v>
      </c>
      <c r="E21" s="2" t="s">
        <v>624</v>
      </c>
      <c r="F21" s="32" t="n">
        <v>-920.76</v>
      </c>
      <c r="G21" s="14" t="n">
        <f aca="false">IF(D21="Promotional Incentive",0,F21)</f>
        <v>-920.76</v>
      </c>
      <c r="H21" s="32" t="n">
        <v>0.1</v>
      </c>
      <c r="I21" s="12" t="n">
        <v>-92.08</v>
      </c>
      <c r="J21" s="12" t="n">
        <f aca="false">IF(D21="Promotional Incentive",0,I21)</f>
        <v>-92.08</v>
      </c>
      <c r="K21" s="2" t="s">
        <v>312</v>
      </c>
      <c r="L21" s="2" t="s">
        <v>44</v>
      </c>
    </row>
    <row r="22" customFormat="false" ht="15" hidden="false" customHeight="false" outlineLevel="0" collapsed="false">
      <c r="A22" s="2" t="s">
        <v>331</v>
      </c>
      <c r="B22" s="2" t="s">
        <v>332</v>
      </c>
      <c r="C22" s="2" t="s">
        <v>910</v>
      </c>
      <c r="D22" s="2" t="s">
        <v>644</v>
      </c>
      <c r="E22" s="2" t="s">
        <v>612</v>
      </c>
      <c r="F22" s="32" t="n">
        <v>661.72</v>
      </c>
      <c r="G22" s="14" t="n">
        <f aca="false">IF(D22="Promotional Incentive",0,F22)</f>
        <v>661.72</v>
      </c>
      <c r="H22" s="32" t="n">
        <v>0.1</v>
      </c>
      <c r="I22" s="12" t="n">
        <v>66.17</v>
      </c>
      <c r="J22" s="12" t="n">
        <f aca="false">IF(D22="Promotional Incentive",0,I22)</f>
        <v>66.17</v>
      </c>
      <c r="K22" s="2" t="s">
        <v>312</v>
      </c>
      <c r="L22" s="2" t="s">
        <v>44</v>
      </c>
    </row>
    <row r="23" customFormat="false" ht="15" hidden="false" customHeight="false" outlineLevel="0" collapsed="false">
      <c r="A23" s="2" t="s">
        <v>334</v>
      </c>
      <c r="B23" s="2" t="s">
        <v>335</v>
      </c>
      <c r="C23" s="2" t="s">
        <v>912</v>
      </c>
      <c r="D23" s="2" t="s">
        <v>597</v>
      </c>
      <c r="E23" s="2" t="s">
        <v>913</v>
      </c>
      <c r="F23" s="32" t="n">
        <v>-547</v>
      </c>
      <c r="G23" s="14" t="n">
        <f aca="false">IF(D23="Promotional Incentive",0,F23)</f>
        <v>-547</v>
      </c>
      <c r="H23" s="32" t="n">
        <v>0.1</v>
      </c>
      <c r="I23" s="12" t="n">
        <v>-54.7</v>
      </c>
      <c r="J23" s="12" t="n">
        <f aca="false">IF(D23="Promotional Incentive",0,I23)</f>
        <v>-54.7</v>
      </c>
      <c r="K23" s="2" t="s">
        <v>305</v>
      </c>
      <c r="L23" s="2" t="s">
        <v>44</v>
      </c>
    </row>
    <row r="24" customFormat="false" ht="15" hidden="false" customHeight="false" outlineLevel="0" collapsed="false">
      <c r="A24" s="2" t="s">
        <v>337</v>
      </c>
      <c r="B24" s="2" t="s">
        <v>339</v>
      </c>
      <c r="C24" s="2" t="s">
        <v>918</v>
      </c>
      <c r="D24" s="2" t="s">
        <v>682</v>
      </c>
      <c r="E24" s="2" t="s">
        <v>624</v>
      </c>
      <c r="F24" s="32" t="n">
        <v>-84.14</v>
      </c>
      <c r="G24" s="14" t="n">
        <f aca="false">IF(D24="Promotional Incentive",0,F24)</f>
        <v>-84.14</v>
      </c>
      <c r="H24" s="32" t="n">
        <v>0.1</v>
      </c>
      <c r="I24" s="12" t="n">
        <v>-8.41</v>
      </c>
      <c r="J24" s="12" t="n">
        <f aca="false">IF(D24="Promotional Incentive",0,I24)</f>
        <v>-8.41</v>
      </c>
      <c r="K24" s="2" t="s">
        <v>338</v>
      </c>
      <c r="L24" s="2" t="s">
        <v>44</v>
      </c>
    </row>
    <row r="25" customFormat="false" ht="15" hidden="false" customHeight="false" outlineLevel="0" collapsed="false">
      <c r="A25" s="2" t="s">
        <v>341</v>
      </c>
      <c r="B25" s="2" t="s">
        <v>342</v>
      </c>
      <c r="C25" s="2" t="s">
        <v>926</v>
      </c>
      <c r="D25" s="2" t="s">
        <v>597</v>
      </c>
      <c r="E25" s="2" t="s">
        <v>731</v>
      </c>
      <c r="F25" s="32" t="n">
        <v>-256.32</v>
      </c>
      <c r="G25" s="14" t="n">
        <f aca="false">IF(D25="Promotional Incentive",0,F25)</f>
        <v>-256.32</v>
      </c>
      <c r="H25" s="32" t="n">
        <v>0.1</v>
      </c>
      <c r="I25" s="12" t="n">
        <v>-25.63</v>
      </c>
      <c r="J25" s="12" t="n">
        <f aca="false">IF(D25="Promotional Incentive",0,I25)</f>
        <v>-25.63</v>
      </c>
      <c r="K25" s="2" t="s">
        <v>312</v>
      </c>
      <c r="L25" s="2" t="s">
        <v>44</v>
      </c>
    </row>
    <row r="26" customFormat="false" ht="15" hidden="false" customHeight="false" outlineLevel="0" collapsed="false">
      <c r="A26" s="2" t="s">
        <v>341</v>
      </c>
      <c r="B26" s="2" t="s">
        <v>342</v>
      </c>
      <c r="C26" s="2" t="s">
        <v>926</v>
      </c>
      <c r="D26" s="2" t="s">
        <v>682</v>
      </c>
      <c r="E26" s="2" t="s">
        <v>520</v>
      </c>
      <c r="F26" s="32" t="n">
        <v>-979.29</v>
      </c>
      <c r="G26" s="14" t="n">
        <f aca="false">IF(D26="Promotional Incentive",0,F26)</f>
        <v>-979.29</v>
      </c>
      <c r="H26" s="32" t="n">
        <v>0.1</v>
      </c>
      <c r="I26" s="12" t="n">
        <v>-97.93</v>
      </c>
      <c r="J26" s="12" t="n">
        <f aca="false">IF(D26="Promotional Incentive",0,I26)</f>
        <v>-97.93</v>
      </c>
      <c r="K26" s="2" t="s">
        <v>312</v>
      </c>
      <c r="L26" s="2" t="s">
        <v>44</v>
      </c>
    </row>
    <row r="27" customFormat="false" ht="15" hidden="false" customHeight="false" outlineLevel="0" collapsed="false">
      <c r="A27" s="2" t="s">
        <v>344</v>
      </c>
      <c r="B27" s="2" t="s">
        <v>345</v>
      </c>
      <c r="C27" s="2" t="s">
        <v>958</v>
      </c>
      <c r="D27" s="2" t="s">
        <v>110</v>
      </c>
      <c r="E27" s="2" t="s">
        <v>747</v>
      </c>
      <c r="F27" s="32" t="n">
        <v>1742</v>
      </c>
      <c r="G27" s="14" t="n">
        <f aca="false">IF(D27="Promotional Incentive",0,F27)</f>
        <v>1742</v>
      </c>
      <c r="H27" s="32" t="n">
        <v>0.1</v>
      </c>
      <c r="I27" s="12" t="n">
        <v>174.2</v>
      </c>
      <c r="J27" s="12" t="n">
        <f aca="false">IF(D27="Promotional Incentive",0,I27)</f>
        <v>174.2</v>
      </c>
      <c r="K27" s="2" t="s">
        <v>295</v>
      </c>
      <c r="L27" s="2" t="s">
        <v>44</v>
      </c>
    </row>
    <row r="28" customFormat="false" ht="15" hidden="false" customHeight="false" outlineLevel="0" collapsed="false">
      <c r="A28" s="2" t="s">
        <v>347</v>
      </c>
      <c r="B28" s="2" t="s">
        <v>348</v>
      </c>
      <c r="C28" s="2" t="s">
        <v>960</v>
      </c>
      <c r="D28" s="2" t="s">
        <v>597</v>
      </c>
      <c r="E28" s="2" t="s">
        <v>760</v>
      </c>
      <c r="F28" s="32" t="n">
        <v>-16.24</v>
      </c>
      <c r="G28" s="14" t="n">
        <f aca="false">IF(D28="Promotional Incentive",0,F28)</f>
        <v>-16.24</v>
      </c>
      <c r="H28" s="32" t="n">
        <v>0.1</v>
      </c>
      <c r="I28" s="12" t="n">
        <v>-1.62</v>
      </c>
      <c r="J28" s="12" t="n">
        <f aca="false">IF(D28="Promotional Incentive",0,I28)</f>
        <v>-1.62</v>
      </c>
      <c r="K28" s="2" t="s">
        <v>295</v>
      </c>
      <c r="L28" s="2" t="s">
        <v>44</v>
      </c>
    </row>
    <row r="29" customFormat="false" ht="15" hidden="false" customHeight="false" outlineLevel="0" collapsed="false">
      <c r="A29" s="2" t="s">
        <v>350</v>
      </c>
      <c r="B29" s="2" t="s">
        <v>351</v>
      </c>
      <c r="C29" s="2" t="s">
        <v>962</v>
      </c>
      <c r="D29" s="2" t="s">
        <v>682</v>
      </c>
      <c r="E29" s="2" t="s">
        <v>678</v>
      </c>
      <c r="F29" s="32" t="n">
        <v>-240.61</v>
      </c>
      <c r="G29" s="14" t="n">
        <f aca="false">IF(D29="Promotional Incentive",0,F29)</f>
        <v>-240.61</v>
      </c>
      <c r="H29" s="32" t="n">
        <v>0.1</v>
      </c>
      <c r="I29" s="12" t="n">
        <v>-24.06</v>
      </c>
      <c r="J29" s="12" t="n">
        <f aca="false">IF(D29="Promotional Incentive",0,I29)</f>
        <v>-24.06</v>
      </c>
      <c r="K29" s="2" t="s">
        <v>290</v>
      </c>
      <c r="L29" s="2" t="s">
        <v>44</v>
      </c>
    </row>
    <row r="30" customFormat="false" ht="15" hidden="false" customHeight="false" outlineLevel="0" collapsed="false">
      <c r="A30" s="2" t="s">
        <v>353</v>
      </c>
      <c r="B30" s="2" t="s">
        <v>354</v>
      </c>
      <c r="C30" s="2" t="s">
        <v>973</v>
      </c>
      <c r="D30" s="2" t="s">
        <v>110</v>
      </c>
      <c r="E30" s="2" t="s">
        <v>747</v>
      </c>
      <c r="F30" s="32" t="n">
        <v>2048</v>
      </c>
      <c r="G30" s="14" t="n">
        <f aca="false">IF(D30="Promotional Incentive",0,F30)</f>
        <v>2048</v>
      </c>
      <c r="H30" s="32" t="n">
        <v>0.1</v>
      </c>
      <c r="I30" s="12" t="n">
        <v>204.8</v>
      </c>
      <c r="J30" s="12" t="n">
        <f aca="false">IF(D30="Promotional Incentive",0,I30)</f>
        <v>204.8</v>
      </c>
      <c r="K30" s="2" t="s">
        <v>295</v>
      </c>
      <c r="L30" s="2" t="s">
        <v>44</v>
      </c>
    </row>
    <row r="31" customFormat="false" ht="15" hidden="false" customHeight="false" outlineLevel="0" collapsed="false">
      <c r="A31" s="15" t="s">
        <v>1316</v>
      </c>
      <c r="B31" s="15"/>
      <c r="C31" s="15"/>
      <c r="D31" s="15"/>
      <c r="E31" s="15"/>
      <c r="F31" s="17" t="n">
        <f aca="false">SUM(F6:F30)</f>
        <v>558.91</v>
      </c>
      <c r="G31" s="18" t="n">
        <f aca="false">SUM(G6:G30)</f>
        <v>558.91</v>
      </c>
      <c r="H31" s="17"/>
      <c r="I31" s="17" t="n">
        <f aca="false">SUM(I6:I30)</f>
        <v>64.35</v>
      </c>
      <c r="J31" s="15" t="n">
        <f aca="false">SUM(J6:J30)</f>
        <v>64.35</v>
      </c>
      <c r="K31" s="15"/>
      <c r="L31" s="15"/>
    </row>
    <row r="32" customFormat="false" ht="15" hidden="false" customHeight="false" outlineLevel="0" collapsed="false">
      <c r="A32" s="2"/>
      <c r="B32" s="2"/>
      <c r="C32" s="2"/>
      <c r="D32" s="2"/>
      <c r="E32" s="2"/>
      <c r="F32" s="12"/>
      <c r="G32" s="14"/>
      <c r="H32" s="12"/>
      <c r="I32" s="12"/>
      <c r="J32" s="2"/>
      <c r="K32" s="2"/>
      <c r="L32" s="2"/>
    </row>
    <row r="33" customFormat="false" ht="15" hidden="false" customHeight="false" outlineLevel="0" collapsed="false">
      <c r="A33" s="6" t="s">
        <v>1317</v>
      </c>
      <c r="B33" s="7"/>
      <c r="C33" s="7"/>
      <c r="D33" s="7"/>
      <c r="E33" s="7"/>
      <c r="F33" s="9"/>
      <c r="G33" s="10"/>
      <c r="H33" s="9"/>
      <c r="I33" s="9"/>
      <c r="J33" s="7"/>
      <c r="K33" s="7"/>
      <c r="L33" s="7"/>
    </row>
    <row r="34" customFormat="false" ht="15" hidden="false" customHeight="false" outlineLevel="0" collapsed="false">
      <c r="A34" s="2" t="s">
        <v>356</v>
      </c>
      <c r="B34" s="2" t="s">
        <v>358</v>
      </c>
      <c r="C34" s="2" t="s">
        <v>986</v>
      </c>
      <c r="D34" s="2" t="s">
        <v>976</v>
      </c>
      <c r="E34" s="2" t="s">
        <v>845</v>
      </c>
      <c r="F34" s="32" t="n">
        <v>361</v>
      </c>
      <c r="G34" s="14" t="n">
        <f aca="false">IF(D34="Promotional Incentive",0,F34)</f>
        <v>361</v>
      </c>
      <c r="H34" s="32" t="n">
        <v>0.1</v>
      </c>
      <c r="I34" s="12" t="n">
        <v>36.1</v>
      </c>
      <c r="J34" s="12" t="n">
        <f aca="false">IF(D34="Promotional Incentive",0,I34)</f>
        <v>36.1</v>
      </c>
      <c r="K34" s="2" t="s">
        <v>357</v>
      </c>
      <c r="L34" s="2" t="s">
        <v>27</v>
      </c>
    </row>
    <row r="35" customFormat="false" ht="15" hidden="false" customHeight="false" outlineLevel="0" collapsed="false">
      <c r="A35" s="2" t="s">
        <v>360</v>
      </c>
      <c r="B35" s="2" t="s">
        <v>362</v>
      </c>
      <c r="C35" s="2" t="s">
        <v>988</v>
      </c>
      <c r="D35" s="2" t="s">
        <v>984</v>
      </c>
      <c r="E35" s="2" t="s">
        <v>989</v>
      </c>
      <c r="F35" s="32" t="n">
        <v>-584</v>
      </c>
      <c r="G35" s="14" t="n">
        <f aca="false">IF(D35="Promotional Incentive",0,F35)</f>
        <v>-584</v>
      </c>
      <c r="H35" s="32" t="n">
        <v>0.1</v>
      </c>
      <c r="I35" s="12" t="n">
        <v>-58.4</v>
      </c>
      <c r="J35" s="12" t="n">
        <f aca="false">IF(D35="Promotional Incentive",0,I35)</f>
        <v>-58.4</v>
      </c>
      <c r="K35" s="2" t="s">
        <v>361</v>
      </c>
      <c r="L35" s="2" t="s">
        <v>27</v>
      </c>
    </row>
    <row r="36" customFormat="false" ht="15" hidden="false" customHeight="false" outlineLevel="0" collapsed="false">
      <c r="A36" s="2" t="s">
        <v>360</v>
      </c>
      <c r="B36" s="2" t="s">
        <v>362</v>
      </c>
      <c r="C36" s="2" t="s">
        <v>988</v>
      </c>
      <c r="D36" s="2" t="s">
        <v>984</v>
      </c>
      <c r="E36" s="2" t="s">
        <v>689</v>
      </c>
      <c r="F36" s="32" t="n">
        <v>-2950</v>
      </c>
      <c r="G36" s="14" t="n">
        <f aca="false">IF(D36="Promotional Incentive",0,F36)</f>
        <v>-2950</v>
      </c>
      <c r="H36" s="32" t="n">
        <v>0.1</v>
      </c>
      <c r="I36" s="12" t="n">
        <v>-295</v>
      </c>
      <c r="J36" s="12" t="n">
        <f aca="false">IF(D36="Promotional Incentive",0,I36)</f>
        <v>-295</v>
      </c>
      <c r="K36" s="2" t="s">
        <v>361</v>
      </c>
      <c r="L36" s="2" t="s">
        <v>27</v>
      </c>
    </row>
    <row r="37" customFormat="false" ht="15" hidden="false" customHeight="false" outlineLevel="0" collapsed="false">
      <c r="A37" s="2" t="s">
        <v>364</v>
      </c>
      <c r="B37" s="2" t="s">
        <v>365</v>
      </c>
      <c r="C37" s="2" t="s">
        <v>991</v>
      </c>
      <c r="D37" s="2" t="s">
        <v>984</v>
      </c>
      <c r="E37" s="2" t="s">
        <v>630</v>
      </c>
      <c r="F37" s="32" t="n">
        <v>-460</v>
      </c>
      <c r="G37" s="14" t="n">
        <f aca="false">IF(D37="Promotional Incentive",0,F37)</f>
        <v>-460</v>
      </c>
      <c r="H37" s="32" t="n">
        <v>0.1</v>
      </c>
      <c r="I37" s="12" t="n">
        <v>-46</v>
      </c>
      <c r="J37" s="12" t="n">
        <f aca="false">IF(D37="Promotional Incentive",0,I37)</f>
        <v>-46</v>
      </c>
      <c r="K37" s="2" t="s">
        <v>361</v>
      </c>
      <c r="L37" s="2" t="s">
        <v>27</v>
      </c>
    </row>
    <row r="38" customFormat="false" ht="15" hidden="false" customHeight="false" outlineLevel="0" collapsed="false">
      <c r="A38" s="2" t="s">
        <v>367</v>
      </c>
      <c r="B38" s="2" t="s">
        <v>368</v>
      </c>
      <c r="C38" s="2" t="s">
        <v>993</v>
      </c>
      <c r="D38" s="2" t="s">
        <v>983</v>
      </c>
      <c r="E38" s="2" t="s">
        <v>608</v>
      </c>
      <c r="F38" s="32" t="n">
        <v>-6</v>
      </c>
      <c r="G38" s="14" t="n">
        <f aca="false">IF(D38="Promotional Incentive",0,F38)</f>
        <v>-6</v>
      </c>
      <c r="H38" s="32" t="n">
        <v>0.1</v>
      </c>
      <c r="I38" s="12" t="n">
        <v>-0.6</v>
      </c>
      <c r="J38" s="12" t="n">
        <f aca="false">IF(D38="Promotional Incentive",0,I38)</f>
        <v>-0.6</v>
      </c>
      <c r="K38" s="2" t="s">
        <v>305</v>
      </c>
      <c r="L38" s="2" t="s">
        <v>27</v>
      </c>
    </row>
    <row r="39" customFormat="false" ht="15" hidden="false" customHeight="false" outlineLevel="0" collapsed="false">
      <c r="A39" s="2" t="s">
        <v>367</v>
      </c>
      <c r="B39" s="2" t="s">
        <v>368</v>
      </c>
      <c r="C39" s="2" t="s">
        <v>993</v>
      </c>
      <c r="D39" s="2" t="s">
        <v>983</v>
      </c>
      <c r="E39" s="2" t="s">
        <v>608</v>
      </c>
      <c r="F39" s="32" t="n">
        <v>-44</v>
      </c>
      <c r="G39" s="14" t="n">
        <f aca="false">IF(D39="Promotional Incentive",0,F39)</f>
        <v>-44</v>
      </c>
      <c r="H39" s="32" t="n">
        <v>0.1</v>
      </c>
      <c r="I39" s="12" t="n">
        <v>-4.4</v>
      </c>
      <c r="J39" s="12" t="n">
        <f aca="false">IF(D39="Promotional Incentive",0,I39)</f>
        <v>-4.4</v>
      </c>
      <c r="K39" s="2" t="s">
        <v>305</v>
      </c>
      <c r="L39" s="2" t="s">
        <v>27</v>
      </c>
    </row>
    <row r="40" customFormat="false" ht="15" hidden="false" customHeight="false" outlineLevel="0" collapsed="false">
      <c r="A40" s="2" t="s">
        <v>370</v>
      </c>
      <c r="B40" s="2" t="s">
        <v>371</v>
      </c>
      <c r="C40" s="2" t="s">
        <v>995</v>
      </c>
      <c r="D40" s="2" t="s">
        <v>984</v>
      </c>
      <c r="E40" s="2" t="s">
        <v>996</v>
      </c>
      <c r="F40" s="32" t="n">
        <v>-698</v>
      </c>
      <c r="G40" s="14" t="n">
        <f aca="false">IF(D40="Promotional Incentive",0,F40)</f>
        <v>-698</v>
      </c>
      <c r="H40" s="32" t="n">
        <v>0.1</v>
      </c>
      <c r="I40" s="12" t="n">
        <v>-69.8</v>
      </c>
      <c r="J40" s="12" t="n">
        <f aca="false">IF(D40="Promotional Incentive",0,I40)</f>
        <v>-69.8</v>
      </c>
      <c r="K40" s="2" t="s">
        <v>305</v>
      </c>
      <c r="L40" s="2" t="s">
        <v>27</v>
      </c>
    </row>
    <row r="41" customFormat="false" ht="15" hidden="false" customHeight="false" outlineLevel="0" collapsed="false">
      <c r="A41" s="2" t="s">
        <v>373</v>
      </c>
      <c r="B41" s="2" t="s">
        <v>374</v>
      </c>
      <c r="C41" s="2" t="s">
        <v>1016</v>
      </c>
      <c r="D41" s="2" t="s">
        <v>984</v>
      </c>
      <c r="E41" s="2" t="s">
        <v>760</v>
      </c>
      <c r="F41" s="32" t="n">
        <v>-2545</v>
      </c>
      <c r="G41" s="14" t="n">
        <f aca="false">IF(D41="Promotional Incentive",0,F41)</f>
        <v>-2545</v>
      </c>
      <c r="H41" s="32" t="n">
        <v>0.1</v>
      </c>
      <c r="I41" s="12" t="n">
        <v>-254.5</v>
      </c>
      <c r="J41" s="12" t="n">
        <f aca="false">IF(D41="Promotional Incentive",0,I41)</f>
        <v>-254.5</v>
      </c>
      <c r="K41" s="2" t="s">
        <v>290</v>
      </c>
      <c r="L41" s="2" t="s">
        <v>27</v>
      </c>
    </row>
    <row r="42" customFormat="false" ht="15" hidden="false" customHeight="false" outlineLevel="0" collapsed="false">
      <c r="A42" s="15" t="s">
        <v>1318</v>
      </c>
      <c r="B42" s="15"/>
      <c r="C42" s="15"/>
      <c r="D42" s="15"/>
      <c r="E42" s="15"/>
      <c r="F42" s="17" t="n">
        <f aca="false">SUM(F34:F41)</f>
        <v>-6926</v>
      </c>
      <c r="G42" s="18" t="n">
        <f aca="false">SUM(G34:G41)</f>
        <v>-6926</v>
      </c>
      <c r="H42" s="17"/>
      <c r="I42" s="17" t="n">
        <f aca="false">SUM(I34:I41)</f>
        <v>-692.6</v>
      </c>
      <c r="J42" s="15" t="n">
        <f aca="false">SUM(J34:J41)</f>
        <v>-692.6</v>
      </c>
      <c r="K42" s="15"/>
      <c r="L42" s="15"/>
    </row>
    <row r="43" customFormat="false" ht="15" hidden="false" customHeight="false" outlineLevel="0" collapsed="false">
      <c r="A43" s="2"/>
      <c r="B43" s="2"/>
      <c r="C43" s="2"/>
      <c r="D43" s="2"/>
      <c r="E43" s="2"/>
      <c r="F43" s="12"/>
      <c r="G43" s="14"/>
      <c r="H43" s="12"/>
      <c r="I43" s="12"/>
      <c r="J43" s="2"/>
      <c r="K43" s="2"/>
      <c r="L43" s="2"/>
    </row>
    <row r="44" customFormat="false" ht="15" hidden="false" customHeight="false" outlineLevel="0" collapsed="false">
      <c r="A44" s="6" t="s">
        <v>1319</v>
      </c>
      <c r="B44" s="7"/>
      <c r="C44" s="7"/>
      <c r="D44" s="7"/>
      <c r="E44" s="7"/>
      <c r="F44" s="9"/>
      <c r="G44" s="10"/>
      <c r="H44" s="9"/>
      <c r="I44" s="9"/>
      <c r="J44" s="7"/>
      <c r="K44" s="7"/>
      <c r="L44" s="7"/>
    </row>
    <row r="45" customFormat="false" ht="15" hidden="false" customHeight="false" outlineLevel="0" collapsed="false">
      <c r="A45" s="2" t="s">
        <v>376</v>
      </c>
      <c r="B45" s="2" t="s">
        <v>377</v>
      </c>
      <c r="C45" s="2" t="s">
        <v>1045</v>
      </c>
      <c r="D45" s="2" t="s">
        <v>1023</v>
      </c>
      <c r="E45" s="2" t="s">
        <v>513</v>
      </c>
      <c r="F45" s="32" t="n">
        <v>269.1</v>
      </c>
      <c r="G45" s="14" t="n">
        <f aca="false">IF(D45="Promotional Incentive",0,F45)</f>
        <v>269.1</v>
      </c>
      <c r="H45" s="32" t="n">
        <v>0.1</v>
      </c>
      <c r="I45" s="12" t="n">
        <v>26.91</v>
      </c>
      <c r="J45" s="12" t="n">
        <f aca="false">IF(D45="Promotional Incentive",0,I45)</f>
        <v>26.91</v>
      </c>
      <c r="K45" s="2" t="s">
        <v>290</v>
      </c>
      <c r="L45" s="2" t="s">
        <v>37</v>
      </c>
    </row>
    <row r="46" customFormat="false" ht="15" hidden="false" customHeight="false" outlineLevel="0" collapsed="false">
      <c r="A46" s="2" t="s">
        <v>379</v>
      </c>
      <c r="B46" s="2" t="s">
        <v>380</v>
      </c>
      <c r="C46" s="2" t="s">
        <v>379</v>
      </c>
      <c r="D46" s="2" t="s">
        <v>1023</v>
      </c>
      <c r="E46" s="2" t="s">
        <v>513</v>
      </c>
      <c r="F46" s="32" t="n">
        <v>178.9</v>
      </c>
      <c r="G46" s="14" t="n">
        <f aca="false">IF(D46="Promotional Incentive",0,F46)</f>
        <v>178.9</v>
      </c>
      <c r="H46" s="32" t="n">
        <v>0.1</v>
      </c>
      <c r="I46" s="12" t="n">
        <v>17.89</v>
      </c>
      <c r="J46" s="12" t="n">
        <f aca="false">IF(D46="Promotional Incentive",0,I46)</f>
        <v>17.89</v>
      </c>
      <c r="K46" s="2" t="s">
        <v>295</v>
      </c>
      <c r="L46" s="2" t="s">
        <v>37</v>
      </c>
    </row>
    <row r="47" customFormat="false" ht="15" hidden="false" customHeight="false" outlineLevel="0" collapsed="false">
      <c r="A47" s="2" t="s">
        <v>382</v>
      </c>
      <c r="B47" s="2" t="s">
        <v>383</v>
      </c>
      <c r="C47" s="2" t="s">
        <v>1051</v>
      </c>
      <c r="D47" s="2" t="s">
        <v>1023</v>
      </c>
      <c r="E47" s="2" t="s">
        <v>513</v>
      </c>
      <c r="F47" s="32" t="n">
        <v>212.9</v>
      </c>
      <c r="G47" s="14" t="n">
        <f aca="false">IF(D47="Promotional Incentive",0,F47)</f>
        <v>212.9</v>
      </c>
      <c r="H47" s="32" t="n">
        <v>0.1</v>
      </c>
      <c r="I47" s="12" t="n">
        <v>21.29</v>
      </c>
      <c r="J47" s="12" t="n">
        <f aca="false">IF(D47="Promotional Incentive",0,I47)</f>
        <v>21.29</v>
      </c>
      <c r="K47" s="2" t="s">
        <v>290</v>
      </c>
      <c r="L47" s="2" t="s">
        <v>37</v>
      </c>
    </row>
    <row r="48" customFormat="false" ht="15" hidden="false" customHeight="false" outlineLevel="0" collapsed="false">
      <c r="A48" s="2" t="s">
        <v>385</v>
      </c>
      <c r="B48" s="2" t="s">
        <v>386</v>
      </c>
      <c r="C48" s="2" t="s">
        <v>1053</v>
      </c>
      <c r="D48" s="2" t="s">
        <v>1023</v>
      </c>
      <c r="E48" s="2" t="s">
        <v>513</v>
      </c>
      <c r="F48" s="32" t="n">
        <v>202.2</v>
      </c>
      <c r="G48" s="14" t="n">
        <f aca="false">IF(D48="Promotional Incentive",0,F48)</f>
        <v>202.2</v>
      </c>
      <c r="H48" s="32" t="n">
        <v>0.1</v>
      </c>
      <c r="I48" s="12" t="n">
        <v>20.22</v>
      </c>
      <c r="J48" s="12" t="n">
        <f aca="false">IF(D48="Promotional Incentive",0,I48)</f>
        <v>20.22</v>
      </c>
      <c r="K48" s="2" t="s">
        <v>325</v>
      </c>
      <c r="L48" s="2" t="s">
        <v>37</v>
      </c>
    </row>
    <row r="49" customFormat="false" ht="15" hidden="false" customHeight="false" outlineLevel="0" collapsed="false">
      <c r="A49" s="2" t="s">
        <v>385</v>
      </c>
      <c r="B49" s="2" t="s">
        <v>386</v>
      </c>
      <c r="C49" s="2" t="s">
        <v>1053</v>
      </c>
      <c r="D49" s="19" t="s">
        <v>511</v>
      </c>
      <c r="E49" s="2" t="s">
        <v>513</v>
      </c>
      <c r="F49" s="32" t="n">
        <v>202.2</v>
      </c>
      <c r="G49" s="14" t="n">
        <f aca="false">IF(D49="Promotional Incentive",0,F49)</f>
        <v>0</v>
      </c>
      <c r="H49" s="32" t="n">
        <v>0.03</v>
      </c>
      <c r="I49" s="21" t="n">
        <v>6.06</v>
      </c>
      <c r="J49" s="2" t="n">
        <f aca="false">IF(D49="Promotional Incentive",0,I49)</f>
        <v>0</v>
      </c>
      <c r="K49" s="2" t="s">
        <v>325</v>
      </c>
      <c r="L49" s="2" t="s">
        <v>37</v>
      </c>
    </row>
    <row r="50" customFormat="false" ht="15" hidden="false" customHeight="false" outlineLevel="0" collapsed="false">
      <c r="A50" s="2" t="s">
        <v>388</v>
      </c>
      <c r="B50" s="2" t="s">
        <v>389</v>
      </c>
      <c r="C50" s="2" t="s">
        <v>1061</v>
      </c>
      <c r="D50" s="2" t="s">
        <v>1023</v>
      </c>
      <c r="E50" s="2" t="s">
        <v>513</v>
      </c>
      <c r="F50" s="32" t="n">
        <v>420.7</v>
      </c>
      <c r="G50" s="14" t="n">
        <f aca="false">IF(D50="Promotional Incentive",0,F50)</f>
        <v>420.7</v>
      </c>
      <c r="H50" s="32" t="n">
        <v>0.1</v>
      </c>
      <c r="I50" s="12" t="n">
        <v>42.07</v>
      </c>
      <c r="J50" s="12" t="n">
        <f aca="false">IF(D50="Promotional Incentive",0,I50)</f>
        <v>42.07</v>
      </c>
      <c r="K50" s="2" t="s">
        <v>361</v>
      </c>
      <c r="L50" s="2" t="s">
        <v>37</v>
      </c>
    </row>
    <row r="51" customFormat="false" ht="15" hidden="false" customHeight="false" outlineLevel="0" collapsed="false">
      <c r="A51" s="2" t="s">
        <v>391</v>
      </c>
      <c r="B51" s="2" t="s">
        <v>392</v>
      </c>
      <c r="C51" s="2" t="s">
        <v>391</v>
      </c>
      <c r="D51" s="2" t="s">
        <v>1023</v>
      </c>
      <c r="E51" s="2" t="s">
        <v>513</v>
      </c>
      <c r="F51" s="32" t="n">
        <v>190.6</v>
      </c>
      <c r="G51" s="14" t="n">
        <f aca="false">IF(D51="Promotional Incentive",0,F51)</f>
        <v>190.6</v>
      </c>
      <c r="H51" s="32" t="n">
        <v>0.1</v>
      </c>
      <c r="I51" s="12" t="n">
        <v>19.06</v>
      </c>
      <c r="J51" s="12" t="n">
        <f aca="false">IF(D51="Promotional Incentive",0,I51)</f>
        <v>19.06</v>
      </c>
      <c r="K51" s="2" t="s">
        <v>361</v>
      </c>
      <c r="L51" s="2" t="s">
        <v>37</v>
      </c>
    </row>
    <row r="52" customFormat="false" ht="15" hidden="false" customHeight="false" outlineLevel="0" collapsed="false">
      <c r="A52" s="2" t="s">
        <v>394</v>
      </c>
      <c r="B52" s="2" t="s">
        <v>396</v>
      </c>
      <c r="C52" s="2" t="s">
        <v>1067</v>
      </c>
      <c r="D52" s="2" t="s">
        <v>1023</v>
      </c>
      <c r="E52" s="2" t="s">
        <v>513</v>
      </c>
      <c r="F52" s="32" t="n">
        <v>94.4</v>
      </c>
      <c r="G52" s="14" t="n">
        <f aca="false">IF(D52="Promotional Incentive",0,F52)</f>
        <v>94.4</v>
      </c>
      <c r="H52" s="32" t="n">
        <v>0.1</v>
      </c>
      <c r="I52" s="12" t="n">
        <v>9.44</v>
      </c>
      <c r="J52" s="12" t="n">
        <f aca="false">IF(D52="Promotional Incentive",0,I52)</f>
        <v>9.44</v>
      </c>
      <c r="K52" s="2" t="s">
        <v>395</v>
      </c>
      <c r="L52" s="2" t="s">
        <v>37</v>
      </c>
    </row>
    <row r="53" customFormat="false" ht="15" hidden="false" customHeight="false" outlineLevel="0" collapsed="false">
      <c r="A53" s="2" t="s">
        <v>398</v>
      </c>
      <c r="B53" s="2" t="s">
        <v>399</v>
      </c>
      <c r="C53" s="2" t="s">
        <v>398</v>
      </c>
      <c r="D53" s="2" t="s">
        <v>644</v>
      </c>
      <c r="E53" s="2" t="s">
        <v>1069</v>
      </c>
      <c r="F53" s="32" t="n">
        <v>0</v>
      </c>
      <c r="G53" s="14" t="n">
        <f aca="false">IF(D53="Promotional Incentive",0,F53)</f>
        <v>0</v>
      </c>
      <c r="H53" s="32" t="n">
        <v>0.1</v>
      </c>
      <c r="I53" s="12" t="n">
        <v>0</v>
      </c>
      <c r="J53" s="12" t="n">
        <f aca="false">IF(D53="Promotional Incentive",0,I53)</f>
        <v>-0</v>
      </c>
      <c r="K53" s="2" t="s">
        <v>305</v>
      </c>
      <c r="L53" s="2" t="s">
        <v>37</v>
      </c>
    </row>
    <row r="54" customFormat="false" ht="15" hidden="false" customHeight="false" outlineLevel="0" collapsed="false">
      <c r="A54" s="2" t="s">
        <v>398</v>
      </c>
      <c r="B54" s="2" t="s">
        <v>399</v>
      </c>
      <c r="C54" s="2" t="s">
        <v>398</v>
      </c>
      <c r="D54" s="19" t="s">
        <v>511</v>
      </c>
      <c r="E54" s="2" t="s">
        <v>1069</v>
      </c>
      <c r="F54" s="32" t="n">
        <v>0</v>
      </c>
      <c r="G54" s="14" t="n">
        <f aca="false">IF(D54="Promotional Incentive",0,F54)</f>
        <v>0</v>
      </c>
      <c r="H54" s="32" t="n">
        <v>0.03</v>
      </c>
      <c r="I54" s="21" t="n">
        <v>0</v>
      </c>
      <c r="J54" s="2" t="n">
        <f aca="false">IF(D54="Promotional Incentive",0,I54)</f>
        <v>0</v>
      </c>
      <c r="K54" s="2" t="s">
        <v>305</v>
      </c>
      <c r="L54" s="2" t="s">
        <v>37</v>
      </c>
    </row>
    <row r="55" customFormat="false" ht="15" hidden="false" customHeight="false" outlineLevel="0" collapsed="false">
      <c r="A55" s="2" t="s">
        <v>400</v>
      </c>
      <c r="B55" s="2" t="s">
        <v>401</v>
      </c>
      <c r="C55" s="2" t="s">
        <v>400</v>
      </c>
      <c r="D55" s="2" t="s">
        <v>1077</v>
      </c>
      <c r="E55" s="2" t="s">
        <v>1078</v>
      </c>
      <c r="F55" s="32" t="n">
        <v>-2598</v>
      </c>
      <c r="G55" s="14" t="n">
        <f aca="false">IF(D55="Promotional Incentive",0,F55)</f>
        <v>-2598</v>
      </c>
      <c r="H55" s="32" t="n">
        <v>0.1</v>
      </c>
      <c r="I55" s="12" t="n">
        <v>-259.8</v>
      </c>
      <c r="J55" s="12" t="n">
        <f aca="false">IF(D55="Promotional Incentive",0,I55)</f>
        <v>-259.8</v>
      </c>
      <c r="K55" s="2" t="s">
        <v>312</v>
      </c>
      <c r="L55" s="2" t="s">
        <v>37</v>
      </c>
    </row>
    <row r="56" customFormat="false" ht="15" hidden="false" customHeight="false" outlineLevel="0" collapsed="false">
      <c r="A56" s="2" t="s">
        <v>400</v>
      </c>
      <c r="B56" s="2" t="s">
        <v>401</v>
      </c>
      <c r="C56" s="2" t="s">
        <v>400</v>
      </c>
      <c r="D56" s="19" t="s">
        <v>511</v>
      </c>
      <c r="E56" s="2" t="s">
        <v>1078</v>
      </c>
      <c r="F56" s="32" t="n">
        <v>-2598</v>
      </c>
      <c r="G56" s="14" t="n">
        <f aca="false">IF(D56="Promotional Incentive",0,F56)</f>
        <v>0</v>
      </c>
      <c r="H56" s="32" t="n">
        <v>0.03</v>
      </c>
      <c r="I56" s="21" t="n">
        <v>-77.94</v>
      </c>
      <c r="J56" s="2" t="n">
        <f aca="false">IF(D56="Promotional Incentive",0,I56)</f>
        <v>0</v>
      </c>
      <c r="K56" s="2" t="s">
        <v>312</v>
      </c>
      <c r="L56" s="2" t="s">
        <v>37</v>
      </c>
    </row>
    <row r="57" customFormat="false" ht="15" hidden="false" customHeight="false" outlineLevel="0" collapsed="false">
      <c r="A57" s="2" t="s">
        <v>403</v>
      </c>
      <c r="B57" s="2" t="s">
        <v>404</v>
      </c>
      <c r="C57" s="2" t="s">
        <v>1083</v>
      </c>
      <c r="D57" s="2" t="s">
        <v>1023</v>
      </c>
      <c r="E57" s="2" t="s">
        <v>513</v>
      </c>
      <c r="F57" s="32" t="n">
        <v>82.6</v>
      </c>
      <c r="G57" s="14" t="n">
        <f aca="false">IF(D57="Promotional Incentive",0,F57)</f>
        <v>82.6</v>
      </c>
      <c r="H57" s="32" t="n">
        <v>0.1</v>
      </c>
      <c r="I57" s="12" t="n">
        <v>8.26</v>
      </c>
      <c r="J57" s="12" t="n">
        <f aca="false">IF(D57="Promotional Incentive",0,I57)</f>
        <v>8.26</v>
      </c>
      <c r="K57" s="2" t="s">
        <v>325</v>
      </c>
      <c r="L57" s="2" t="s">
        <v>37</v>
      </c>
    </row>
    <row r="58" customFormat="false" ht="15" hidden="false" customHeight="false" outlineLevel="0" collapsed="false">
      <c r="A58" s="2" t="s">
        <v>403</v>
      </c>
      <c r="B58" s="2" t="s">
        <v>404</v>
      </c>
      <c r="C58" s="2" t="s">
        <v>1083</v>
      </c>
      <c r="D58" s="19" t="s">
        <v>511</v>
      </c>
      <c r="E58" s="2" t="s">
        <v>513</v>
      </c>
      <c r="F58" s="32" t="n">
        <v>82.6</v>
      </c>
      <c r="G58" s="14" t="n">
        <f aca="false">IF(D58="Promotional Incentive",0,F58)</f>
        <v>0</v>
      </c>
      <c r="H58" s="32" t="n">
        <v>0.03</v>
      </c>
      <c r="I58" s="21" t="n">
        <v>2.47</v>
      </c>
      <c r="J58" s="2" t="n">
        <f aca="false">IF(D58="Promotional Incentive",0,I58)</f>
        <v>0</v>
      </c>
      <c r="K58" s="2" t="s">
        <v>325</v>
      </c>
      <c r="L58" s="2" t="s">
        <v>37</v>
      </c>
    </row>
    <row r="59" customFormat="false" ht="15" hidden="false" customHeight="false" outlineLevel="0" collapsed="false">
      <c r="A59" s="2" t="s">
        <v>406</v>
      </c>
      <c r="B59" s="2" t="s">
        <v>408</v>
      </c>
      <c r="C59" s="2" t="s">
        <v>406</v>
      </c>
      <c r="D59" s="2" t="s">
        <v>1023</v>
      </c>
      <c r="E59" s="2" t="s">
        <v>513</v>
      </c>
      <c r="F59" s="32" t="n">
        <v>158.8</v>
      </c>
      <c r="G59" s="14" t="n">
        <f aca="false">IF(D59="Promotional Incentive",0,F59)</f>
        <v>158.8</v>
      </c>
      <c r="H59" s="32" t="n">
        <v>0.1</v>
      </c>
      <c r="I59" s="12" t="n">
        <v>15.88</v>
      </c>
      <c r="J59" s="12" t="n">
        <f aca="false">IF(D59="Promotional Incentive",0,I59)</f>
        <v>15.88</v>
      </c>
      <c r="K59" s="2" t="s">
        <v>407</v>
      </c>
      <c r="L59" s="2" t="s">
        <v>37</v>
      </c>
    </row>
    <row r="60" customFormat="false" ht="15" hidden="false" customHeight="false" outlineLevel="0" collapsed="false">
      <c r="A60" s="2" t="s">
        <v>410</v>
      </c>
      <c r="B60" s="2" t="s">
        <v>411</v>
      </c>
      <c r="C60" s="2" t="s">
        <v>1092</v>
      </c>
      <c r="D60" s="2" t="s">
        <v>644</v>
      </c>
      <c r="E60" s="2" t="s">
        <v>1093</v>
      </c>
      <c r="F60" s="32" t="n">
        <v>0</v>
      </c>
      <c r="G60" s="14" t="n">
        <f aca="false">IF(D60="Promotional Incentive",0,F60)</f>
        <v>0</v>
      </c>
      <c r="H60" s="32" t="n">
        <v>0.1</v>
      </c>
      <c r="I60" s="12" t="n">
        <v>0</v>
      </c>
      <c r="J60" s="12" t="n">
        <f aca="false">IF(D60="Promotional Incentive",0,I60)</f>
        <v>-0</v>
      </c>
      <c r="K60" s="2" t="s">
        <v>325</v>
      </c>
      <c r="L60" s="2" t="s">
        <v>37</v>
      </c>
    </row>
    <row r="61" customFormat="false" ht="15" hidden="false" customHeight="false" outlineLevel="0" collapsed="false">
      <c r="A61" s="2" t="s">
        <v>410</v>
      </c>
      <c r="B61" s="2" t="s">
        <v>411</v>
      </c>
      <c r="C61" s="2" t="s">
        <v>1092</v>
      </c>
      <c r="D61" s="19" t="s">
        <v>511</v>
      </c>
      <c r="E61" s="2" t="s">
        <v>1093</v>
      </c>
      <c r="F61" s="32" t="n">
        <v>0</v>
      </c>
      <c r="G61" s="14" t="n">
        <f aca="false">IF(D61="Promotional Incentive",0,F61)</f>
        <v>0</v>
      </c>
      <c r="H61" s="32" t="n">
        <v>0.03</v>
      </c>
      <c r="I61" s="21" t="n">
        <v>0</v>
      </c>
      <c r="J61" s="2" t="n">
        <f aca="false">IF(D61="Promotional Incentive",0,I61)</f>
        <v>0</v>
      </c>
      <c r="K61" s="2" t="s">
        <v>325</v>
      </c>
      <c r="L61" s="2" t="s">
        <v>37</v>
      </c>
    </row>
    <row r="62" customFormat="false" ht="15" hidden="false" customHeight="false" outlineLevel="0" collapsed="false">
      <c r="A62" s="2" t="s">
        <v>412</v>
      </c>
      <c r="B62" s="2" t="s">
        <v>413</v>
      </c>
      <c r="C62" s="2" t="s">
        <v>412</v>
      </c>
      <c r="D62" s="2" t="s">
        <v>644</v>
      </c>
      <c r="E62" s="2" t="s">
        <v>1095</v>
      </c>
      <c r="F62" s="32" t="n">
        <v>0</v>
      </c>
      <c r="G62" s="14" t="n">
        <f aca="false">IF(D62="Promotional Incentive",0,F62)</f>
        <v>0</v>
      </c>
      <c r="H62" s="32" t="n">
        <v>0.1</v>
      </c>
      <c r="I62" s="12" t="n">
        <v>0</v>
      </c>
      <c r="J62" s="12" t="n">
        <f aca="false">IF(D62="Promotional Incentive",0,I62)</f>
        <v>-0</v>
      </c>
      <c r="K62" s="2" t="s">
        <v>325</v>
      </c>
      <c r="L62" s="2" t="s">
        <v>37</v>
      </c>
    </row>
    <row r="63" customFormat="false" ht="15" hidden="false" customHeight="false" outlineLevel="0" collapsed="false">
      <c r="A63" s="2" t="s">
        <v>412</v>
      </c>
      <c r="B63" s="2" t="s">
        <v>413</v>
      </c>
      <c r="C63" s="2" t="s">
        <v>412</v>
      </c>
      <c r="D63" s="19" t="s">
        <v>511</v>
      </c>
      <c r="E63" s="2" t="s">
        <v>1095</v>
      </c>
      <c r="F63" s="32" t="n">
        <v>0</v>
      </c>
      <c r="G63" s="14" t="n">
        <f aca="false">IF(D63="Promotional Incentive",0,F63)</f>
        <v>0</v>
      </c>
      <c r="H63" s="32" t="n">
        <v>0.03</v>
      </c>
      <c r="I63" s="21" t="n">
        <v>0</v>
      </c>
      <c r="J63" s="2" t="n">
        <f aca="false">IF(D63="Promotional Incentive",0,I63)</f>
        <v>0</v>
      </c>
      <c r="K63" s="2" t="s">
        <v>325</v>
      </c>
      <c r="L63" s="2" t="s">
        <v>37</v>
      </c>
    </row>
    <row r="64" customFormat="false" ht="15" hidden="false" customHeight="false" outlineLevel="0" collapsed="false">
      <c r="A64" s="2" t="s">
        <v>412</v>
      </c>
      <c r="B64" s="2" t="s">
        <v>413</v>
      </c>
      <c r="C64" s="2" t="s">
        <v>412</v>
      </c>
      <c r="D64" s="2" t="s">
        <v>644</v>
      </c>
      <c r="E64" s="2" t="s">
        <v>1096</v>
      </c>
      <c r="F64" s="32" t="n">
        <v>0</v>
      </c>
      <c r="G64" s="14" t="n">
        <f aca="false">IF(D64="Promotional Incentive",0,F64)</f>
        <v>0</v>
      </c>
      <c r="H64" s="32" t="n">
        <v>0.1</v>
      </c>
      <c r="I64" s="12" t="n">
        <v>0</v>
      </c>
      <c r="J64" s="12" t="n">
        <f aca="false">IF(D64="Promotional Incentive",0,I64)</f>
        <v>-0</v>
      </c>
      <c r="K64" s="2" t="s">
        <v>325</v>
      </c>
      <c r="L64" s="2" t="s">
        <v>37</v>
      </c>
    </row>
    <row r="65" customFormat="false" ht="15" hidden="false" customHeight="false" outlineLevel="0" collapsed="false">
      <c r="A65" s="2" t="s">
        <v>412</v>
      </c>
      <c r="B65" s="2" t="s">
        <v>413</v>
      </c>
      <c r="C65" s="2" t="s">
        <v>412</v>
      </c>
      <c r="D65" s="19" t="s">
        <v>511</v>
      </c>
      <c r="E65" s="2" t="s">
        <v>1096</v>
      </c>
      <c r="F65" s="32" t="n">
        <v>0</v>
      </c>
      <c r="G65" s="14" t="n">
        <f aca="false">IF(D65="Promotional Incentive",0,F65)</f>
        <v>0</v>
      </c>
      <c r="H65" s="32" t="n">
        <v>0.03</v>
      </c>
      <c r="I65" s="21" t="n">
        <v>0</v>
      </c>
      <c r="J65" s="2" t="n">
        <f aca="false">IF(D65="Promotional Incentive",0,I65)</f>
        <v>0</v>
      </c>
      <c r="K65" s="2" t="s">
        <v>325</v>
      </c>
      <c r="L65" s="2" t="s">
        <v>37</v>
      </c>
    </row>
    <row r="66" customFormat="false" ht="15" hidden="false" customHeight="false" outlineLevel="0" collapsed="false">
      <c r="A66" s="2" t="s">
        <v>415</v>
      </c>
      <c r="B66" s="2" t="s">
        <v>416</v>
      </c>
      <c r="C66" s="2" t="s">
        <v>1101</v>
      </c>
      <c r="D66" s="2" t="s">
        <v>1023</v>
      </c>
      <c r="E66" s="2" t="s">
        <v>513</v>
      </c>
      <c r="F66" s="32" t="n">
        <v>232.5</v>
      </c>
      <c r="G66" s="14" t="n">
        <f aca="false">IF(D66="Promotional Incentive",0,F66)</f>
        <v>232.5</v>
      </c>
      <c r="H66" s="32" t="n">
        <v>0.1</v>
      </c>
      <c r="I66" s="12" t="n">
        <v>23.25</v>
      </c>
      <c r="J66" s="12" t="n">
        <f aca="false">IF(D66="Promotional Incentive",0,I66)</f>
        <v>23.25</v>
      </c>
      <c r="K66" s="2" t="s">
        <v>395</v>
      </c>
      <c r="L66" s="2" t="s">
        <v>37</v>
      </c>
    </row>
    <row r="67" customFormat="false" ht="15" hidden="false" customHeight="false" outlineLevel="0" collapsed="false">
      <c r="A67" s="2" t="s">
        <v>418</v>
      </c>
      <c r="B67" s="2" t="s">
        <v>419</v>
      </c>
      <c r="C67" s="2" t="s">
        <v>1106</v>
      </c>
      <c r="D67" s="2" t="s">
        <v>1023</v>
      </c>
      <c r="E67" s="2" t="s">
        <v>513</v>
      </c>
      <c r="F67" s="32" t="n">
        <v>146.8</v>
      </c>
      <c r="G67" s="14" t="n">
        <f aca="false">IF(D67="Promotional Incentive",0,F67)</f>
        <v>146.8</v>
      </c>
      <c r="H67" s="32" t="n">
        <v>0.1</v>
      </c>
      <c r="I67" s="12" t="n">
        <v>14.68</v>
      </c>
      <c r="J67" s="12" t="n">
        <f aca="false">IF(D67="Promotional Incentive",0,I67)</f>
        <v>14.68</v>
      </c>
      <c r="K67" s="2" t="s">
        <v>295</v>
      </c>
      <c r="L67" s="2" t="s">
        <v>37</v>
      </c>
    </row>
    <row r="68" customFormat="false" ht="15" hidden="false" customHeight="false" outlineLevel="0" collapsed="false">
      <c r="A68" s="2" t="s">
        <v>421</v>
      </c>
      <c r="B68" s="2" t="s">
        <v>422</v>
      </c>
      <c r="C68" s="2" t="s">
        <v>1108</v>
      </c>
      <c r="D68" s="2" t="s">
        <v>1023</v>
      </c>
      <c r="E68" s="2" t="s">
        <v>513</v>
      </c>
      <c r="F68" s="32" t="n">
        <v>122.6</v>
      </c>
      <c r="G68" s="14" t="n">
        <f aca="false">IF(D68="Promotional Incentive",0,F68)</f>
        <v>122.6</v>
      </c>
      <c r="H68" s="32" t="n">
        <v>0.1</v>
      </c>
      <c r="I68" s="12" t="n">
        <v>12.26</v>
      </c>
      <c r="J68" s="12" t="n">
        <f aca="false">IF(D68="Promotional Incentive",0,I68)</f>
        <v>12.26</v>
      </c>
      <c r="K68" s="2" t="s">
        <v>290</v>
      </c>
      <c r="L68" s="2" t="s">
        <v>37</v>
      </c>
    </row>
    <row r="69" customFormat="false" ht="15" hidden="false" customHeight="false" outlineLevel="0" collapsed="false">
      <c r="A69" s="2" t="s">
        <v>424</v>
      </c>
      <c r="B69" s="2" t="s">
        <v>425</v>
      </c>
      <c r="C69" s="2" t="s">
        <v>424</v>
      </c>
      <c r="D69" s="2" t="s">
        <v>644</v>
      </c>
      <c r="E69" s="2" t="s">
        <v>1110</v>
      </c>
      <c r="F69" s="32" t="n">
        <v>18</v>
      </c>
      <c r="G69" s="14" t="n">
        <f aca="false">IF(D69="Promotional Incentive",0,F69)</f>
        <v>18</v>
      </c>
      <c r="H69" s="32" t="n">
        <v>0.1</v>
      </c>
      <c r="I69" s="12" t="n">
        <v>1.8</v>
      </c>
      <c r="J69" s="12" t="n">
        <f aca="false">IF(D69="Promotional Incentive",0,I69)</f>
        <v>1.8</v>
      </c>
      <c r="K69" s="2" t="s">
        <v>305</v>
      </c>
      <c r="L69" s="2" t="s">
        <v>37</v>
      </c>
    </row>
    <row r="70" customFormat="false" ht="15" hidden="false" customHeight="false" outlineLevel="0" collapsed="false">
      <c r="A70" s="2" t="s">
        <v>424</v>
      </c>
      <c r="B70" s="2" t="s">
        <v>425</v>
      </c>
      <c r="C70" s="2" t="s">
        <v>424</v>
      </c>
      <c r="D70" s="19" t="s">
        <v>511</v>
      </c>
      <c r="E70" s="2" t="s">
        <v>1110</v>
      </c>
      <c r="F70" s="32" t="n">
        <v>18</v>
      </c>
      <c r="G70" s="14" t="n">
        <f aca="false">IF(D70="Promotional Incentive",0,F70)</f>
        <v>0</v>
      </c>
      <c r="H70" s="32" t="n">
        <v>0.03</v>
      </c>
      <c r="I70" s="21" t="n">
        <v>0.54</v>
      </c>
      <c r="J70" s="2" t="n">
        <f aca="false">IF(D70="Promotional Incentive",0,I70)</f>
        <v>0</v>
      </c>
      <c r="K70" s="2" t="s">
        <v>305</v>
      </c>
      <c r="L70" s="2" t="s">
        <v>37</v>
      </c>
    </row>
    <row r="71" customFormat="false" ht="15" hidden="false" customHeight="false" outlineLevel="0" collapsed="false">
      <c r="A71" s="2" t="s">
        <v>427</v>
      </c>
      <c r="B71" s="2" t="s">
        <v>428</v>
      </c>
      <c r="C71" s="2" t="s">
        <v>1112</v>
      </c>
      <c r="D71" s="2" t="s">
        <v>644</v>
      </c>
      <c r="E71" s="2" t="s">
        <v>1033</v>
      </c>
      <c r="F71" s="32" t="n">
        <v>-226</v>
      </c>
      <c r="G71" s="14" t="n">
        <f aca="false">IF(D71="Promotional Incentive",0,F71)</f>
        <v>-226</v>
      </c>
      <c r="H71" s="32" t="n">
        <v>0.1</v>
      </c>
      <c r="I71" s="12" t="n">
        <v>-22.6</v>
      </c>
      <c r="J71" s="12" t="n">
        <f aca="false">IF(D71="Promotional Incentive",0,I71)</f>
        <v>-22.6</v>
      </c>
      <c r="K71" s="2" t="s">
        <v>312</v>
      </c>
      <c r="L71" s="2" t="s">
        <v>37</v>
      </c>
    </row>
    <row r="72" customFormat="false" ht="15" hidden="false" customHeight="false" outlineLevel="0" collapsed="false">
      <c r="A72" s="2" t="s">
        <v>427</v>
      </c>
      <c r="B72" s="2" t="s">
        <v>428</v>
      </c>
      <c r="C72" s="2" t="s">
        <v>1112</v>
      </c>
      <c r="D72" s="19" t="s">
        <v>511</v>
      </c>
      <c r="E72" s="2" t="s">
        <v>1033</v>
      </c>
      <c r="F72" s="32" t="n">
        <v>-226</v>
      </c>
      <c r="G72" s="14" t="n">
        <f aca="false">IF(D72="Promotional Incentive",0,F72)</f>
        <v>0</v>
      </c>
      <c r="H72" s="32" t="n">
        <v>0.03</v>
      </c>
      <c r="I72" s="21" t="n">
        <v>-6.78</v>
      </c>
      <c r="J72" s="2" t="n">
        <f aca="false">IF(D72="Promotional Incentive",0,I72)</f>
        <v>0</v>
      </c>
      <c r="K72" s="2" t="s">
        <v>312</v>
      </c>
      <c r="L72" s="2" t="s">
        <v>37</v>
      </c>
    </row>
    <row r="73" customFormat="false" ht="15" hidden="false" customHeight="false" outlineLevel="0" collapsed="false">
      <c r="A73" s="2" t="s">
        <v>427</v>
      </c>
      <c r="B73" s="2" t="s">
        <v>428</v>
      </c>
      <c r="C73" s="2" t="s">
        <v>1112</v>
      </c>
      <c r="D73" s="2" t="s">
        <v>644</v>
      </c>
      <c r="E73" s="2" t="s">
        <v>1110</v>
      </c>
      <c r="F73" s="32" t="n">
        <v>50</v>
      </c>
      <c r="G73" s="14" t="n">
        <f aca="false">IF(D73="Promotional Incentive",0,F73)</f>
        <v>50</v>
      </c>
      <c r="H73" s="32" t="n">
        <v>0.1</v>
      </c>
      <c r="I73" s="12" t="n">
        <v>5</v>
      </c>
      <c r="J73" s="12" t="n">
        <f aca="false">IF(D73="Promotional Incentive",0,I73)</f>
        <v>5</v>
      </c>
      <c r="K73" s="2" t="s">
        <v>312</v>
      </c>
      <c r="L73" s="2" t="s">
        <v>37</v>
      </c>
    </row>
    <row r="74" customFormat="false" ht="15" hidden="false" customHeight="false" outlineLevel="0" collapsed="false">
      <c r="A74" s="2" t="s">
        <v>427</v>
      </c>
      <c r="B74" s="2" t="s">
        <v>428</v>
      </c>
      <c r="C74" s="2" t="s">
        <v>1112</v>
      </c>
      <c r="D74" s="19" t="s">
        <v>511</v>
      </c>
      <c r="E74" s="2" t="s">
        <v>1110</v>
      </c>
      <c r="F74" s="32" t="n">
        <v>50</v>
      </c>
      <c r="G74" s="14" t="n">
        <f aca="false">IF(D74="Promotional Incentive",0,F74)</f>
        <v>0</v>
      </c>
      <c r="H74" s="32" t="n">
        <v>0.03</v>
      </c>
      <c r="I74" s="21" t="n">
        <v>1.5</v>
      </c>
      <c r="J74" s="2" t="n">
        <f aca="false">IF(D74="Promotional Incentive",0,I74)</f>
        <v>0</v>
      </c>
      <c r="K74" s="2" t="s">
        <v>312</v>
      </c>
      <c r="L74" s="2" t="s">
        <v>37</v>
      </c>
    </row>
    <row r="75" customFormat="false" ht="15" hidden="false" customHeight="false" outlineLevel="0" collapsed="false">
      <c r="A75" s="2" t="s">
        <v>427</v>
      </c>
      <c r="B75" s="2" t="s">
        <v>428</v>
      </c>
      <c r="C75" s="2" t="s">
        <v>1112</v>
      </c>
      <c r="D75" s="2" t="s">
        <v>644</v>
      </c>
      <c r="E75" s="2" t="s">
        <v>1093</v>
      </c>
      <c r="F75" s="32" t="n">
        <v>-49</v>
      </c>
      <c r="G75" s="14" t="n">
        <f aca="false">IF(D75="Promotional Incentive",0,F75)</f>
        <v>-49</v>
      </c>
      <c r="H75" s="32" t="n">
        <v>0.1</v>
      </c>
      <c r="I75" s="12" t="n">
        <v>-4.9</v>
      </c>
      <c r="J75" s="12" t="n">
        <f aca="false">IF(D75="Promotional Incentive",0,I75)</f>
        <v>-4.9</v>
      </c>
      <c r="K75" s="2" t="s">
        <v>312</v>
      </c>
      <c r="L75" s="2" t="s">
        <v>37</v>
      </c>
    </row>
    <row r="76" customFormat="false" ht="15" hidden="false" customHeight="false" outlineLevel="0" collapsed="false">
      <c r="A76" s="2" t="s">
        <v>427</v>
      </c>
      <c r="B76" s="2" t="s">
        <v>428</v>
      </c>
      <c r="C76" s="2" t="s">
        <v>1112</v>
      </c>
      <c r="D76" s="19" t="s">
        <v>511</v>
      </c>
      <c r="E76" s="2" t="s">
        <v>1093</v>
      </c>
      <c r="F76" s="32" t="n">
        <v>-49</v>
      </c>
      <c r="G76" s="14" t="n">
        <f aca="false">IF(D76="Promotional Incentive",0,F76)</f>
        <v>0</v>
      </c>
      <c r="H76" s="32" t="n">
        <v>0.03</v>
      </c>
      <c r="I76" s="21" t="n">
        <v>-1.47</v>
      </c>
      <c r="J76" s="2" t="n">
        <f aca="false">IF(D76="Promotional Incentive",0,I76)</f>
        <v>0</v>
      </c>
      <c r="K76" s="2" t="s">
        <v>312</v>
      </c>
      <c r="L76" s="2" t="s">
        <v>37</v>
      </c>
    </row>
    <row r="77" customFormat="false" ht="15" hidden="false" customHeight="false" outlineLevel="0" collapsed="false">
      <c r="A77" s="2" t="s">
        <v>430</v>
      </c>
      <c r="B77" s="2" t="s">
        <v>431</v>
      </c>
      <c r="C77" s="2" t="s">
        <v>1114</v>
      </c>
      <c r="D77" s="2" t="s">
        <v>644</v>
      </c>
      <c r="E77" s="2" t="s">
        <v>1036</v>
      </c>
      <c r="F77" s="32" t="n">
        <v>157</v>
      </c>
      <c r="G77" s="14" t="n">
        <f aca="false">IF(D77="Promotional Incentive",0,F77)</f>
        <v>157</v>
      </c>
      <c r="H77" s="32" t="n">
        <v>0.1</v>
      </c>
      <c r="I77" s="12" t="n">
        <v>15.7</v>
      </c>
      <c r="J77" s="12" t="n">
        <f aca="false">IF(D77="Promotional Incentive",0,I77)</f>
        <v>15.7</v>
      </c>
      <c r="K77" s="2" t="s">
        <v>312</v>
      </c>
      <c r="L77" s="2" t="s">
        <v>37</v>
      </c>
    </row>
    <row r="78" customFormat="false" ht="15" hidden="false" customHeight="false" outlineLevel="0" collapsed="false">
      <c r="A78" s="2" t="s">
        <v>430</v>
      </c>
      <c r="B78" s="2" t="s">
        <v>431</v>
      </c>
      <c r="C78" s="2" t="s">
        <v>1114</v>
      </c>
      <c r="D78" s="19" t="s">
        <v>511</v>
      </c>
      <c r="E78" s="2" t="s">
        <v>1036</v>
      </c>
      <c r="F78" s="32" t="n">
        <v>157</v>
      </c>
      <c r="G78" s="14" t="n">
        <f aca="false">IF(D78="Promotional Incentive",0,F78)</f>
        <v>0</v>
      </c>
      <c r="H78" s="32" t="n">
        <v>0.03</v>
      </c>
      <c r="I78" s="21" t="n">
        <v>4.71</v>
      </c>
      <c r="J78" s="2" t="n">
        <f aca="false">IF(D78="Promotional Incentive",0,I78)</f>
        <v>0</v>
      </c>
      <c r="K78" s="2" t="s">
        <v>312</v>
      </c>
      <c r="L78" s="2" t="s">
        <v>37</v>
      </c>
    </row>
    <row r="79" customFormat="false" ht="15" hidden="false" customHeight="false" outlineLevel="0" collapsed="false">
      <c r="A79" s="2" t="s">
        <v>433</v>
      </c>
      <c r="B79" s="2" t="s">
        <v>434</v>
      </c>
      <c r="C79" s="2" t="s">
        <v>433</v>
      </c>
      <c r="D79" s="2" t="s">
        <v>1077</v>
      </c>
      <c r="E79" s="2" t="s">
        <v>1041</v>
      </c>
      <c r="F79" s="32" t="n">
        <v>-3162</v>
      </c>
      <c r="G79" s="14" t="n">
        <f aca="false">IF(D79="Promotional Incentive",0,F79)</f>
        <v>-3162</v>
      </c>
      <c r="H79" s="32" t="n">
        <v>0.1</v>
      </c>
      <c r="I79" s="12" t="n">
        <v>-316.2</v>
      </c>
      <c r="J79" s="12" t="n">
        <f aca="false">IF(D79="Promotional Incentive",0,I79)</f>
        <v>-316.2</v>
      </c>
      <c r="K79" s="2" t="s">
        <v>312</v>
      </c>
      <c r="L79" s="2" t="s">
        <v>37</v>
      </c>
    </row>
    <row r="80" customFormat="false" ht="15" hidden="false" customHeight="false" outlineLevel="0" collapsed="false">
      <c r="A80" s="2" t="s">
        <v>433</v>
      </c>
      <c r="B80" s="2" t="s">
        <v>434</v>
      </c>
      <c r="C80" s="2" t="s">
        <v>433</v>
      </c>
      <c r="D80" s="19" t="s">
        <v>511</v>
      </c>
      <c r="E80" s="2" t="s">
        <v>1041</v>
      </c>
      <c r="F80" s="32" t="n">
        <v>-3162</v>
      </c>
      <c r="G80" s="14" t="n">
        <f aca="false">IF(D80="Promotional Incentive",0,F80)</f>
        <v>0</v>
      </c>
      <c r="H80" s="32" t="n">
        <v>0.03</v>
      </c>
      <c r="I80" s="21" t="n">
        <v>-94.86</v>
      </c>
      <c r="J80" s="2" t="n">
        <f aca="false">IF(D80="Promotional Incentive",0,I80)</f>
        <v>0</v>
      </c>
      <c r="K80" s="2" t="s">
        <v>312</v>
      </c>
      <c r="L80" s="2" t="s">
        <v>37</v>
      </c>
    </row>
    <row r="81" customFormat="false" ht="15" hidden="false" customHeight="false" outlineLevel="0" collapsed="false">
      <c r="A81" s="2" t="s">
        <v>436</v>
      </c>
      <c r="B81" s="2" t="s">
        <v>437</v>
      </c>
      <c r="C81" s="2" t="s">
        <v>1117</v>
      </c>
      <c r="D81" s="2" t="s">
        <v>644</v>
      </c>
      <c r="E81" s="2" t="s">
        <v>1118</v>
      </c>
      <c r="F81" s="32" t="n">
        <v>86</v>
      </c>
      <c r="G81" s="14" t="n">
        <f aca="false">IF(D81="Promotional Incentive",0,F81)</f>
        <v>86</v>
      </c>
      <c r="H81" s="32" t="n">
        <v>0.1</v>
      </c>
      <c r="I81" s="12" t="n">
        <v>8.6</v>
      </c>
      <c r="J81" s="12" t="n">
        <f aca="false">IF(D81="Promotional Incentive",0,I81)</f>
        <v>8.6</v>
      </c>
      <c r="K81" s="2" t="s">
        <v>325</v>
      </c>
      <c r="L81" s="2" t="s">
        <v>37</v>
      </c>
    </row>
    <row r="82" customFormat="false" ht="15" hidden="false" customHeight="false" outlineLevel="0" collapsed="false">
      <c r="A82" s="2" t="s">
        <v>436</v>
      </c>
      <c r="B82" s="2" t="s">
        <v>437</v>
      </c>
      <c r="C82" s="2" t="s">
        <v>1117</v>
      </c>
      <c r="D82" s="19" t="s">
        <v>511</v>
      </c>
      <c r="E82" s="2" t="s">
        <v>1118</v>
      </c>
      <c r="F82" s="32" t="n">
        <v>86</v>
      </c>
      <c r="G82" s="14" t="n">
        <f aca="false">IF(D82="Promotional Incentive",0,F82)</f>
        <v>0</v>
      </c>
      <c r="H82" s="32" t="n">
        <v>0.03</v>
      </c>
      <c r="I82" s="21" t="n">
        <v>2.58</v>
      </c>
      <c r="J82" s="2" t="n">
        <f aca="false">IF(D82="Promotional Incentive",0,I82)</f>
        <v>0</v>
      </c>
      <c r="K82" s="2" t="s">
        <v>325</v>
      </c>
      <c r="L82" s="2" t="s">
        <v>37</v>
      </c>
    </row>
    <row r="83" customFormat="false" ht="15" hidden="false" customHeight="false" outlineLevel="0" collapsed="false">
      <c r="A83" s="2" t="s">
        <v>439</v>
      </c>
      <c r="B83" s="2" t="s">
        <v>440</v>
      </c>
      <c r="C83" s="2" t="s">
        <v>1120</v>
      </c>
      <c r="D83" s="2" t="s">
        <v>644</v>
      </c>
      <c r="E83" s="2" t="s">
        <v>1121</v>
      </c>
      <c r="F83" s="32" t="n">
        <v>111</v>
      </c>
      <c r="G83" s="14" t="n">
        <f aca="false">IF(D83="Promotional Incentive",0,F83)</f>
        <v>111</v>
      </c>
      <c r="H83" s="32" t="n">
        <v>0.1</v>
      </c>
      <c r="I83" s="12" t="n">
        <v>11.1</v>
      </c>
      <c r="J83" s="12" t="n">
        <f aca="false">IF(D83="Promotional Incentive",0,I83)</f>
        <v>11.1</v>
      </c>
      <c r="K83" s="2" t="s">
        <v>325</v>
      </c>
      <c r="L83" s="2" t="s">
        <v>37</v>
      </c>
    </row>
    <row r="84" customFormat="false" ht="15" hidden="false" customHeight="false" outlineLevel="0" collapsed="false">
      <c r="A84" s="2" t="s">
        <v>439</v>
      </c>
      <c r="B84" s="2" t="s">
        <v>440</v>
      </c>
      <c r="C84" s="2" t="s">
        <v>1120</v>
      </c>
      <c r="D84" s="19" t="s">
        <v>511</v>
      </c>
      <c r="E84" s="2" t="s">
        <v>1121</v>
      </c>
      <c r="F84" s="32" t="n">
        <v>111</v>
      </c>
      <c r="G84" s="14" t="n">
        <f aca="false">IF(D84="Promotional Incentive",0,F84)</f>
        <v>0</v>
      </c>
      <c r="H84" s="32" t="n">
        <v>0.03</v>
      </c>
      <c r="I84" s="21" t="n">
        <v>3.33</v>
      </c>
      <c r="J84" s="2" t="n">
        <f aca="false">IF(D84="Promotional Incentive",0,I84)</f>
        <v>0</v>
      </c>
      <c r="K84" s="2" t="s">
        <v>325</v>
      </c>
      <c r="L84" s="2" t="s">
        <v>37</v>
      </c>
    </row>
    <row r="85" customFormat="false" ht="15" hidden="false" customHeight="false" outlineLevel="0" collapsed="false">
      <c r="A85" s="2" t="s">
        <v>439</v>
      </c>
      <c r="B85" s="2" t="s">
        <v>440</v>
      </c>
      <c r="C85" s="2" t="s">
        <v>1120</v>
      </c>
      <c r="D85" s="2" t="s">
        <v>1077</v>
      </c>
      <c r="E85" s="2" t="s">
        <v>1122</v>
      </c>
      <c r="F85" s="32" t="n">
        <v>-2869</v>
      </c>
      <c r="G85" s="14" t="n">
        <f aca="false">IF(D85="Promotional Incentive",0,F85)</f>
        <v>-2869</v>
      </c>
      <c r="H85" s="32" t="n">
        <v>0.1</v>
      </c>
      <c r="I85" s="12" t="n">
        <v>-286.9</v>
      </c>
      <c r="J85" s="12" t="n">
        <f aca="false">IF(D85="Promotional Incentive",0,I85)</f>
        <v>-286.9</v>
      </c>
      <c r="K85" s="2" t="s">
        <v>325</v>
      </c>
      <c r="L85" s="2" t="s">
        <v>37</v>
      </c>
    </row>
    <row r="86" customFormat="false" ht="15" hidden="false" customHeight="false" outlineLevel="0" collapsed="false">
      <c r="A86" s="2" t="s">
        <v>439</v>
      </c>
      <c r="B86" s="2" t="s">
        <v>440</v>
      </c>
      <c r="C86" s="2" t="s">
        <v>1120</v>
      </c>
      <c r="D86" s="19" t="s">
        <v>511</v>
      </c>
      <c r="E86" s="2" t="s">
        <v>1122</v>
      </c>
      <c r="F86" s="32" t="n">
        <v>-2869</v>
      </c>
      <c r="G86" s="14" t="n">
        <f aca="false">IF(D86="Promotional Incentive",0,F86)</f>
        <v>0</v>
      </c>
      <c r="H86" s="32" t="n">
        <v>0.03</v>
      </c>
      <c r="I86" s="21" t="n">
        <v>-86.07</v>
      </c>
      <c r="J86" s="2" t="n">
        <f aca="false">IF(D86="Promotional Incentive",0,I86)</f>
        <v>0</v>
      </c>
      <c r="K86" s="2" t="s">
        <v>325</v>
      </c>
      <c r="L86" s="2" t="s">
        <v>37</v>
      </c>
    </row>
    <row r="87" customFormat="false" ht="15" hidden="false" customHeight="false" outlineLevel="0" collapsed="false">
      <c r="A87" s="2" t="s">
        <v>442</v>
      </c>
      <c r="B87" s="2" t="s">
        <v>443</v>
      </c>
      <c r="C87" s="2" t="s">
        <v>1124</v>
      </c>
      <c r="D87" s="2" t="s">
        <v>644</v>
      </c>
      <c r="E87" s="2" t="s">
        <v>1121</v>
      </c>
      <c r="F87" s="32" t="n">
        <v>0</v>
      </c>
      <c r="G87" s="14" t="n">
        <f aca="false">IF(D87="Promotional Incentive",0,F87)</f>
        <v>0</v>
      </c>
      <c r="H87" s="32" t="n">
        <v>0.1</v>
      </c>
      <c r="I87" s="12" t="n">
        <v>0</v>
      </c>
      <c r="J87" s="12" t="n">
        <f aca="false">IF(D87="Promotional Incentive",0,I87)</f>
        <v>-0</v>
      </c>
      <c r="K87" s="2" t="s">
        <v>325</v>
      </c>
      <c r="L87" s="2" t="s">
        <v>37</v>
      </c>
    </row>
    <row r="88" customFormat="false" ht="15" hidden="false" customHeight="false" outlineLevel="0" collapsed="false">
      <c r="A88" s="2" t="s">
        <v>442</v>
      </c>
      <c r="B88" s="2" t="s">
        <v>443</v>
      </c>
      <c r="C88" s="2" t="s">
        <v>1124</v>
      </c>
      <c r="D88" s="19" t="s">
        <v>511</v>
      </c>
      <c r="E88" s="2" t="s">
        <v>1121</v>
      </c>
      <c r="F88" s="32" t="n">
        <v>0</v>
      </c>
      <c r="G88" s="14" t="n">
        <f aca="false">IF(D88="Promotional Incentive",0,F88)</f>
        <v>0</v>
      </c>
      <c r="H88" s="32" t="n">
        <v>0.03</v>
      </c>
      <c r="I88" s="21" t="n">
        <v>0</v>
      </c>
      <c r="J88" s="2" t="n">
        <f aca="false">IF(D88="Promotional Incentive",0,I88)</f>
        <v>0</v>
      </c>
      <c r="K88" s="2" t="s">
        <v>325</v>
      </c>
      <c r="L88" s="2" t="s">
        <v>37</v>
      </c>
    </row>
    <row r="89" customFormat="false" ht="15" hidden="false" customHeight="false" outlineLevel="0" collapsed="false">
      <c r="A89" s="2" t="s">
        <v>442</v>
      </c>
      <c r="B89" s="2" t="s">
        <v>443</v>
      </c>
      <c r="C89" s="2" t="s">
        <v>1124</v>
      </c>
      <c r="D89" s="2" t="s">
        <v>644</v>
      </c>
      <c r="E89" s="2" t="s">
        <v>1125</v>
      </c>
      <c r="F89" s="32" t="n">
        <v>37</v>
      </c>
      <c r="G89" s="14" t="n">
        <f aca="false">IF(D89="Promotional Incentive",0,F89)</f>
        <v>37</v>
      </c>
      <c r="H89" s="32" t="n">
        <v>0.1</v>
      </c>
      <c r="I89" s="12" t="n">
        <v>3.7</v>
      </c>
      <c r="J89" s="12" t="n">
        <f aca="false">IF(D89="Promotional Incentive",0,I89)</f>
        <v>3.7</v>
      </c>
      <c r="K89" s="2" t="s">
        <v>325</v>
      </c>
      <c r="L89" s="2" t="s">
        <v>37</v>
      </c>
    </row>
    <row r="90" customFormat="false" ht="15" hidden="false" customHeight="false" outlineLevel="0" collapsed="false">
      <c r="A90" s="2" t="s">
        <v>442</v>
      </c>
      <c r="B90" s="2" t="s">
        <v>443</v>
      </c>
      <c r="C90" s="2" t="s">
        <v>1124</v>
      </c>
      <c r="D90" s="19" t="s">
        <v>511</v>
      </c>
      <c r="E90" s="2" t="s">
        <v>1125</v>
      </c>
      <c r="F90" s="32" t="n">
        <v>37</v>
      </c>
      <c r="G90" s="14" t="n">
        <f aca="false">IF(D90="Promotional Incentive",0,F90)</f>
        <v>0</v>
      </c>
      <c r="H90" s="32" t="n">
        <v>0.03</v>
      </c>
      <c r="I90" s="21" t="n">
        <v>1.11</v>
      </c>
      <c r="J90" s="2" t="n">
        <f aca="false">IF(D90="Promotional Incentive",0,I90)</f>
        <v>0</v>
      </c>
      <c r="K90" s="2" t="s">
        <v>325</v>
      </c>
      <c r="L90" s="2" t="s">
        <v>37</v>
      </c>
    </row>
    <row r="91" customFormat="false" ht="15" hidden="false" customHeight="false" outlineLevel="0" collapsed="false">
      <c r="A91" s="2" t="s">
        <v>442</v>
      </c>
      <c r="B91" s="2" t="s">
        <v>443</v>
      </c>
      <c r="C91" s="2" t="s">
        <v>1124</v>
      </c>
      <c r="D91" s="2" t="s">
        <v>1077</v>
      </c>
      <c r="E91" s="2" t="s">
        <v>1041</v>
      </c>
      <c r="F91" s="32" t="n">
        <v>-1272</v>
      </c>
      <c r="G91" s="14" t="n">
        <f aca="false">IF(D91="Promotional Incentive",0,F91)</f>
        <v>-1272</v>
      </c>
      <c r="H91" s="32" t="n">
        <v>0.1</v>
      </c>
      <c r="I91" s="12" t="n">
        <v>-127.2</v>
      </c>
      <c r="J91" s="12" t="n">
        <f aca="false">IF(D91="Promotional Incentive",0,I91)</f>
        <v>-127.2</v>
      </c>
      <c r="K91" s="2" t="s">
        <v>325</v>
      </c>
      <c r="L91" s="2" t="s">
        <v>37</v>
      </c>
    </row>
    <row r="92" customFormat="false" ht="15" hidden="false" customHeight="false" outlineLevel="0" collapsed="false">
      <c r="A92" s="2" t="s">
        <v>442</v>
      </c>
      <c r="B92" s="2" t="s">
        <v>443</v>
      </c>
      <c r="C92" s="2" t="s">
        <v>1124</v>
      </c>
      <c r="D92" s="19" t="s">
        <v>511</v>
      </c>
      <c r="E92" s="2" t="s">
        <v>1041</v>
      </c>
      <c r="F92" s="32" t="n">
        <v>-1272</v>
      </c>
      <c r="G92" s="14" t="n">
        <f aca="false">IF(D92="Promotional Incentive",0,F92)</f>
        <v>0</v>
      </c>
      <c r="H92" s="32" t="n">
        <v>0.03</v>
      </c>
      <c r="I92" s="21" t="n">
        <v>-38.16</v>
      </c>
      <c r="J92" s="2" t="n">
        <f aca="false">IF(D92="Promotional Incentive",0,I92)</f>
        <v>0</v>
      </c>
      <c r="K92" s="2" t="s">
        <v>325</v>
      </c>
      <c r="L92" s="2" t="s">
        <v>37</v>
      </c>
    </row>
    <row r="93" customFormat="false" ht="15" hidden="false" customHeight="false" outlineLevel="0" collapsed="false">
      <c r="A93" s="2" t="s">
        <v>445</v>
      </c>
      <c r="B93" s="2" t="s">
        <v>446</v>
      </c>
      <c r="C93" s="2" t="s">
        <v>1130</v>
      </c>
      <c r="D93" s="2" t="s">
        <v>1023</v>
      </c>
      <c r="E93" s="2" t="s">
        <v>513</v>
      </c>
      <c r="F93" s="32" t="n">
        <v>192</v>
      </c>
      <c r="G93" s="14" t="n">
        <f aca="false">IF(D93="Promotional Incentive",0,F93)</f>
        <v>192</v>
      </c>
      <c r="H93" s="32" t="n">
        <v>0.1</v>
      </c>
      <c r="I93" s="12" t="n">
        <v>19.2</v>
      </c>
      <c r="J93" s="12" t="n">
        <f aca="false">IF(D93="Promotional Incentive",0,I93)</f>
        <v>19.2</v>
      </c>
      <c r="K93" s="2" t="s">
        <v>305</v>
      </c>
      <c r="L93" s="2" t="s">
        <v>37</v>
      </c>
    </row>
    <row r="94" customFormat="false" ht="15" hidden="false" customHeight="false" outlineLevel="0" collapsed="false">
      <c r="A94" s="2" t="s">
        <v>445</v>
      </c>
      <c r="B94" s="2" t="s">
        <v>446</v>
      </c>
      <c r="C94" s="2" t="s">
        <v>1130</v>
      </c>
      <c r="D94" s="19" t="s">
        <v>511</v>
      </c>
      <c r="E94" s="2" t="s">
        <v>513</v>
      </c>
      <c r="F94" s="32" t="n">
        <v>192</v>
      </c>
      <c r="G94" s="14" t="n">
        <f aca="false">IF(D94="Promotional Incentive",0,F94)</f>
        <v>0</v>
      </c>
      <c r="H94" s="32" t="n">
        <v>0.03</v>
      </c>
      <c r="I94" s="21" t="n">
        <v>5.76</v>
      </c>
      <c r="J94" s="2" t="n">
        <f aca="false">IF(D94="Promotional Incentive",0,I94)</f>
        <v>0</v>
      </c>
      <c r="K94" s="2" t="s">
        <v>305</v>
      </c>
      <c r="L94" s="2" t="s">
        <v>37</v>
      </c>
    </row>
    <row r="95" customFormat="false" ht="15" hidden="false" customHeight="false" outlineLevel="0" collapsed="false">
      <c r="A95" s="2" t="s">
        <v>448</v>
      </c>
      <c r="B95" s="2" t="s">
        <v>449</v>
      </c>
      <c r="C95" s="2" t="s">
        <v>448</v>
      </c>
      <c r="D95" s="2" t="s">
        <v>1023</v>
      </c>
      <c r="E95" s="2" t="s">
        <v>513</v>
      </c>
      <c r="F95" s="32" t="n">
        <v>193</v>
      </c>
      <c r="G95" s="14" t="n">
        <f aca="false">IF(D95="Promotional Incentive",0,F95)</f>
        <v>193</v>
      </c>
      <c r="H95" s="32" t="n">
        <v>0.1</v>
      </c>
      <c r="I95" s="12" t="n">
        <v>19.3</v>
      </c>
      <c r="J95" s="12" t="n">
        <f aca="false">IF(D95="Promotional Incentive",0,I95)</f>
        <v>19.3</v>
      </c>
      <c r="K95" s="2" t="s">
        <v>312</v>
      </c>
      <c r="L95" s="2" t="s">
        <v>37</v>
      </c>
    </row>
    <row r="96" customFormat="false" ht="15" hidden="false" customHeight="false" outlineLevel="0" collapsed="false">
      <c r="A96" s="2" t="s">
        <v>448</v>
      </c>
      <c r="B96" s="2" t="s">
        <v>449</v>
      </c>
      <c r="C96" s="2" t="s">
        <v>448</v>
      </c>
      <c r="D96" s="19" t="s">
        <v>511</v>
      </c>
      <c r="E96" s="2" t="s">
        <v>513</v>
      </c>
      <c r="F96" s="32" t="n">
        <v>193</v>
      </c>
      <c r="G96" s="14" t="n">
        <f aca="false">IF(D96="Promotional Incentive",0,F96)</f>
        <v>0</v>
      </c>
      <c r="H96" s="32" t="n">
        <v>0.03</v>
      </c>
      <c r="I96" s="21" t="n">
        <v>5.79</v>
      </c>
      <c r="J96" s="2" t="n">
        <f aca="false">IF(D96="Promotional Incentive",0,I96)</f>
        <v>0</v>
      </c>
      <c r="K96" s="2" t="s">
        <v>312</v>
      </c>
      <c r="L96" s="2" t="s">
        <v>37</v>
      </c>
    </row>
    <row r="97" customFormat="false" ht="15" hidden="false" customHeight="false" outlineLevel="0" collapsed="false">
      <c r="A97" s="2" t="s">
        <v>451</v>
      </c>
      <c r="B97" s="2" t="s">
        <v>453</v>
      </c>
      <c r="C97" s="2" t="s">
        <v>1133</v>
      </c>
      <c r="D97" s="2" t="s">
        <v>1023</v>
      </c>
      <c r="E97" s="2" t="s">
        <v>513</v>
      </c>
      <c r="F97" s="32" t="n">
        <v>95.4</v>
      </c>
      <c r="G97" s="14" t="n">
        <f aca="false">IF(D97="Promotional Incentive",0,F97)</f>
        <v>95.4</v>
      </c>
      <c r="H97" s="32" t="n">
        <v>0.1</v>
      </c>
      <c r="I97" s="12" t="n">
        <v>9.54</v>
      </c>
      <c r="J97" s="12" t="n">
        <f aca="false">IF(D97="Promotional Incentive",0,I97)</f>
        <v>9.54</v>
      </c>
      <c r="K97" s="2" t="s">
        <v>452</v>
      </c>
      <c r="L97" s="2" t="s">
        <v>37</v>
      </c>
    </row>
    <row r="98" customFormat="false" ht="15" hidden="false" customHeight="false" outlineLevel="0" collapsed="false">
      <c r="A98" s="2" t="s">
        <v>455</v>
      </c>
      <c r="B98" s="2" t="s">
        <v>456</v>
      </c>
      <c r="C98" s="2" t="s">
        <v>1135</v>
      </c>
      <c r="D98" s="2" t="s">
        <v>1023</v>
      </c>
      <c r="E98" s="2" t="s">
        <v>513</v>
      </c>
      <c r="F98" s="32" t="n">
        <v>54.1</v>
      </c>
      <c r="G98" s="14" t="n">
        <f aca="false">IF(D98="Promotional Incentive",0,F98)</f>
        <v>54.1</v>
      </c>
      <c r="H98" s="32" t="n">
        <v>0.1</v>
      </c>
      <c r="I98" s="12" t="n">
        <v>5.41</v>
      </c>
      <c r="J98" s="12" t="n">
        <f aca="false">IF(D98="Promotional Incentive",0,I98)</f>
        <v>5.41</v>
      </c>
      <c r="K98" s="2" t="s">
        <v>325</v>
      </c>
      <c r="L98" s="2" t="s">
        <v>37</v>
      </c>
    </row>
    <row r="99" customFormat="false" ht="15" hidden="false" customHeight="false" outlineLevel="0" collapsed="false">
      <c r="A99" s="2" t="s">
        <v>455</v>
      </c>
      <c r="B99" s="2" t="s">
        <v>456</v>
      </c>
      <c r="C99" s="2" t="s">
        <v>1135</v>
      </c>
      <c r="D99" s="19" t="s">
        <v>511</v>
      </c>
      <c r="E99" s="2" t="s">
        <v>513</v>
      </c>
      <c r="F99" s="32" t="n">
        <v>54.1</v>
      </c>
      <c r="G99" s="14" t="n">
        <f aca="false">IF(D99="Promotional Incentive",0,F99)</f>
        <v>0</v>
      </c>
      <c r="H99" s="32" t="n">
        <v>0.03</v>
      </c>
      <c r="I99" s="21" t="n">
        <v>1.62</v>
      </c>
      <c r="J99" s="2" t="n">
        <f aca="false">IF(D99="Promotional Incentive",0,I99)</f>
        <v>0</v>
      </c>
      <c r="K99" s="2" t="s">
        <v>325</v>
      </c>
      <c r="L99" s="2" t="s">
        <v>37</v>
      </c>
    </row>
    <row r="100" customFormat="false" ht="15" hidden="false" customHeight="false" outlineLevel="0" collapsed="false">
      <c r="A100" s="2" t="s">
        <v>458</v>
      </c>
      <c r="B100" s="2" t="s">
        <v>459</v>
      </c>
      <c r="C100" s="2" t="s">
        <v>458</v>
      </c>
      <c r="D100" s="2" t="s">
        <v>1023</v>
      </c>
      <c r="E100" s="2" t="s">
        <v>513</v>
      </c>
      <c r="F100" s="32" t="n">
        <v>116.4</v>
      </c>
      <c r="G100" s="14" t="n">
        <f aca="false">IF(D100="Promotional Incentive",0,F100)</f>
        <v>116.4</v>
      </c>
      <c r="H100" s="32" t="n">
        <v>0.1</v>
      </c>
      <c r="I100" s="12" t="n">
        <v>11.64</v>
      </c>
      <c r="J100" s="12" t="n">
        <f aca="false">IF(D100="Promotional Incentive",0,I100)</f>
        <v>11.64</v>
      </c>
      <c r="K100" s="2" t="s">
        <v>325</v>
      </c>
      <c r="L100" s="2" t="s">
        <v>37</v>
      </c>
    </row>
    <row r="101" customFormat="false" ht="15" hidden="false" customHeight="false" outlineLevel="0" collapsed="false">
      <c r="A101" s="2" t="s">
        <v>458</v>
      </c>
      <c r="B101" s="2" t="s">
        <v>459</v>
      </c>
      <c r="C101" s="2" t="s">
        <v>458</v>
      </c>
      <c r="D101" s="19" t="s">
        <v>511</v>
      </c>
      <c r="E101" s="2" t="s">
        <v>513</v>
      </c>
      <c r="F101" s="32" t="n">
        <v>116.4</v>
      </c>
      <c r="G101" s="14" t="n">
        <f aca="false">IF(D101="Promotional Incentive",0,F101)</f>
        <v>0</v>
      </c>
      <c r="H101" s="32" t="n">
        <v>0.03</v>
      </c>
      <c r="I101" s="21" t="n">
        <v>3.49</v>
      </c>
      <c r="J101" s="2" t="n">
        <f aca="false">IF(D101="Promotional Incentive",0,I101)</f>
        <v>0</v>
      </c>
      <c r="K101" s="2" t="s">
        <v>325</v>
      </c>
      <c r="L101" s="2" t="s">
        <v>37</v>
      </c>
    </row>
    <row r="102" customFormat="false" ht="15" hidden="false" customHeight="false" outlineLevel="0" collapsed="false">
      <c r="A102" s="2" t="s">
        <v>461</v>
      </c>
      <c r="B102" s="2" t="s">
        <v>462</v>
      </c>
      <c r="C102" s="2" t="s">
        <v>1141</v>
      </c>
      <c r="D102" s="2" t="s">
        <v>1023</v>
      </c>
      <c r="E102" s="2" t="s">
        <v>513</v>
      </c>
      <c r="F102" s="32" t="n">
        <v>177.3</v>
      </c>
      <c r="G102" s="14" t="n">
        <f aca="false">IF(D102="Promotional Incentive",0,F102)</f>
        <v>177.3</v>
      </c>
      <c r="H102" s="32" t="n">
        <v>0.1</v>
      </c>
      <c r="I102" s="12" t="n">
        <v>17.73</v>
      </c>
      <c r="J102" s="12" t="n">
        <f aca="false">IF(D102="Promotional Incentive",0,I102)</f>
        <v>17.73</v>
      </c>
      <c r="K102" s="2" t="s">
        <v>290</v>
      </c>
      <c r="L102" s="2" t="s">
        <v>37</v>
      </c>
    </row>
    <row r="103" customFormat="false" ht="15" hidden="false" customHeight="false" outlineLevel="0" collapsed="false">
      <c r="A103" s="15" t="s">
        <v>1320</v>
      </c>
      <c r="B103" s="15"/>
      <c r="C103" s="15"/>
      <c r="D103" s="15"/>
      <c r="E103" s="15"/>
      <c r="F103" s="17" t="n">
        <f aca="false">SUM(F45:F102)</f>
        <v>-15453.4</v>
      </c>
      <c r="G103" s="18" t="n">
        <f aca="false">SUM(G45:G102)</f>
        <v>-6576.7</v>
      </c>
      <c r="H103" s="17"/>
      <c r="I103" s="17" t="n">
        <f aca="false">SUM(I45:I102)</f>
        <v>-923.99</v>
      </c>
      <c r="J103" s="15" t="n">
        <f aca="false">SUM(J45:J102)</f>
        <v>-657.67</v>
      </c>
      <c r="K103" s="15"/>
      <c r="L103" s="15"/>
    </row>
    <row r="104" customFormat="false" ht="15" hidden="false" customHeight="false" outlineLevel="0" collapsed="false">
      <c r="A104" s="2"/>
      <c r="B104" s="2"/>
      <c r="C104" s="2"/>
      <c r="D104" s="2"/>
      <c r="E104" s="2"/>
      <c r="F104" s="12"/>
      <c r="G104" s="14"/>
      <c r="H104" s="12"/>
      <c r="I104" s="12"/>
      <c r="J104" s="2"/>
      <c r="K104" s="2"/>
      <c r="L104" s="2"/>
    </row>
    <row r="105" customFormat="false" ht="15" hidden="false" customHeight="false" outlineLevel="0" collapsed="false">
      <c r="A105" s="6" t="s">
        <v>1321</v>
      </c>
      <c r="B105" s="7"/>
      <c r="C105" s="7"/>
      <c r="D105" s="7"/>
      <c r="E105" s="7"/>
      <c r="F105" s="9"/>
      <c r="G105" s="10"/>
      <c r="H105" s="9"/>
      <c r="I105" s="9"/>
      <c r="J105" s="7"/>
      <c r="K105" s="7"/>
      <c r="L105" s="7"/>
    </row>
    <row r="106" customFormat="false" ht="15" hidden="false" customHeight="false" outlineLevel="0" collapsed="false">
      <c r="A106" s="2" t="s">
        <v>464</v>
      </c>
      <c r="B106" s="2" t="s">
        <v>465</v>
      </c>
      <c r="C106" s="2" t="s">
        <v>1159</v>
      </c>
      <c r="D106" s="2" t="s">
        <v>1153</v>
      </c>
      <c r="E106" s="2" t="s">
        <v>765</v>
      </c>
      <c r="F106" s="32" t="n">
        <v>-434</v>
      </c>
      <c r="G106" s="14" t="n">
        <f aca="false">IF(D106="Promotional Incentive",0,F106)</f>
        <v>-434</v>
      </c>
      <c r="H106" s="32" t="n">
        <v>0.13</v>
      </c>
      <c r="I106" s="12" t="n">
        <v>-56.42</v>
      </c>
      <c r="J106" s="12" t="n">
        <f aca="false">IF(D106="Promotional Incentive",0,I106)</f>
        <v>-56.42</v>
      </c>
      <c r="K106" s="2" t="s">
        <v>407</v>
      </c>
      <c r="L106" s="2" t="s">
        <v>208</v>
      </c>
    </row>
    <row r="107" customFormat="false" ht="15" hidden="false" customHeight="false" outlineLevel="0" collapsed="false">
      <c r="A107" s="2" t="s">
        <v>464</v>
      </c>
      <c r="B107" s="2" t="s">
        <v>465</v>
      </c>
      <c r="C107" s="2" t="s">
        <v>1159</v>
      </c>
      <c r="D107" s="2" t="s">
        <v>1160</v>
      </c>
      <c r="E107" s="2" t="s">
        <v>765</v>
      </c>
      <c r="F107" s="32" t="n">
        <v>-28.42</v>
      </c>
      <c r="G107" s="14" t="n">
        <f aca="false">IF(D107="Promotional Incentive",0,F107)</f>
        <v>-28.42</v>
      </c>
      <c r="H107" s="32" t="n">
        <v>0.13</v>
      </c>
      <c r="I107" s="12" t="n">
        <v>-3.69</v>
      </c>
      <c r="J107" s="12" t="n">
        <f aca="false">IF(D107="Promotional Incentive",0,I107)</f>
        <v>-3.69</v>
      </c>
      <c r="K107" s="2" t="s">
        <v>407</v>
      </c>
      <c r="L107" s="2" t="s">
        <v>208</v>
      </c>
    </row>
    <row r="108" customFormat="false" ht="15" hidden="false" customHeight="false" outlineLevel="0" collapsed="false">
      <c r="A108" s="15" t="s">
        <v>1322</v>
      </c>
      <c r="B108" s="15"/>
      <c r="C108" s="15"/>
      <c r="D108" s="15"/>
      <c r="E108" s="15"/>
      <c r="F108" s="17" t="n">
        <f aca="false">SUM(F106:F107)</f>
        <v>-462.42</v>
      </c>
      <c r="G108" s="18" t="n">
        <f aca="false">SUM(G106:G107)</f>
        <v>-462.42</v>
      </c>
      <c r="H108" s="17"/>
      <c r="I108" s="17" t="n">
        <f aca="false">SUM(I106:I107)</f>
        <v>-60.11</v>
      </c>
      <c r="J108" s="15" t="n">
        <f aca="false">SUM(J106:J107)</f>
        <v>-60.11</v>
      </c>
      <c r="K108" s="15"/>
      <c r="L108" s="15"/>
    </row>
    <row r="109" customFormat="false" ht="15" hidden="false" customHeight="false" outlineLevel="0" collapsed="false">
      <c r="A109" s="2"/>
      <c r="B109" s="2"/>
      <c r="C109" s="2"/>
      <c r="D109" s="2"/>
      <c r="E109" s="2"/>
      <c r="F109" s="12"/>
      <c r="G109" s="14"/>
      <c r="H109" s="12"/>
      <c r="I109" s="12"/>
      <c r="J109" s="2"/>
      <c r="K109" s="2"/>
      <c r="L109" s="2"/>
    </row>
    <row r="110" customFormat="false" ht="15" hidden="false" customHeight="false" outlineLevel="0" collapsed="false">
      <c r="A110" s="6" t="s">
        <v>1323</v>
      </c>
      <c r="B110" s="7"/>
      <c r="C110" s="7"/>
      <c r="D110" s="7"/>
      <c r="E110" s="7"/>
      <c r="F110" s="9"/>
      <c r="G110" s="10"/>
      <c r="H110" s="9"/>
      <c r="I110" s="9"/>
      <c r="J110" s="7"/>
      <c r="K110" s="7"/>
      <c r="L110" s="7"/>
    </row>
    <row r="111" customFormat="false" ht="15" hidden="false" customHeight="false" outlineLevel="0" collapsed="false">
      <c r="A111" s="2" t="s">
        <v>467</v>
      </c>
      <c r="B111" s="2" t="s">
        <v>468</v>
      </c>
      <c r="C111" s="2" t="s">
        <v>1174</v>
      </c>
      <c r="D111" s="2" t="s">
        <v>644</v>
      </c>
      <c r="E111" s="2" t="s">
        <v>46</v>
      </c>
      <c r="F111" s="32" t="n">
        <v>-42</v>
      </c>
      <c r="G111" s="14" t="n">
        <f aca="false">IF(D111="Promotional Incentive",0,F111)</f>
        <v>-42</v>
      </c>
      <c r="H111" s="32" t="n">
        <v>0.1</v>
      </c>
      <c r="I111" s="12" t="n">
        <v>-4.2</v>
      </c>
      <c r="J111" s="12" t="n">
        <f aca="false">IF(D111="Promotional Incentive",0,I111)</f>
        <v>-4.2</v>
      </c>
      <c r="K111" s="2" t="s">
        <v>290</v>
      </c>
      <c r="L111" s="2" t="s">
        <v>236</v>
      </c>
    </row>
    <row r="112" customFormat="false" ht="15" hidden="false" customHeight="false" outlineLevel="0" collapsed="false">
      <c r="A112" s="2" t="s">
        <v>470</v>
      </c>
      <c r="B112" s="2" t="s">
        <v>471</v>
      </c>
      <c r="C112" s="2" t="s">
        <v>1176</v>
      </c>
      <c r="D112" s="2" t="s">
        <v>644</v>
      </c>
      <c r="E112" s="2" t="s">
        <v>89</v>
      </c>
      <c r="F112" s="32" t="n">
        <v>69</v>
      </c>
      <c r="G112" s="14" t="n">
        <f aca="false">IF(D112="Promotional Incentive",0,F112)</f>
        <v>69</v>
      </c>
      <c r="H112" s="32" t="n">
        <v>0.1</v>
      </c>
      <c r="I112" s="12" t="n">
        <v>6.9</v>
      </c>
      <c r="J112" s="12" t="n">
        <f aca="false">IF(D112="Promotional Incentive",0,I112)</f>
        <v>6.9</v>
      </c>
      <c r="K112" s="2" t="s">
        <v>305</v>
      </c>
      <c r="L112" s="2" t="s">
        <v>236</v>
      </c>
    </row>
    <row r="113" customFormat="false" ht="15" hidden="false" customHeight="false" outlineLevel="0" collapsed="false">
      <c r="A113" s="2" t="s">
        <v>473</v>
      </c>
      <c r="B113" s="2" t="s">
        <v>475</v>
      </c>
      <c r="C113" s="2" t="s">
        <v>1184</v>
      </c>
      <c r="D113" s="2" t="s">
        <v>1160</v>
      </c>
      <c r="E113" s="2" t="s">
        <v>1185</v>
      </c>
      <c r="F113" s="32" t="n">
        <v>-57.3</v>
      </c>
      <c r="G113" s="14" t="n">
        <f aca="false">IF(D113="Promotional Incentive",0,F113)</f>
        <v>-57.3</v>
      </c>
      <c r="H113" s="32" t="n">
        <v>0.1</v>
      </c>
      <c r="I113" s="12" t="n">
        <v>-5.73</v>
      </c>
      <c r="J113" s="12" t="n">
        <f aca="false">IF(D113="Promotional Incentive",0,I113)</f>
        <v>-5.73</v>
      </c>
      <c r="K113" s="2" t="s">
        <v>474</v>
      </c>
      <c r="L113" s="2" t="s">
        <v>236</v>
      </c>
    </row>
    <row r="114" customFormat="false" ht="15" hidden="false" customHeight="false" outlineLevel="0" collapsed="false">
      <c r="A114" s="2" t="s">
        <v>477</v>
      </c>
      <c r="B114" s="2" t="s">
        <v>478</v>
      </c>
      <c r="C114" s="2" t="s">
        <v>1187</v>
      </c>
      <c r="D114" s="2" t="s">
        <v>644</v>
      </c>
      <c r="E114" s="2" t="s">
        <v>71</v>
      </c>
      <c r="F114" s="32" t="n">
        <v>4</v>
      </c>
      <c r="G114" s="14" t="n">
        <f aca="false">IF(D114="Promotional Incentive",0,F114)</f>
        <v>4</v>
      </c>
      <c r="H114" s="32" t="n">
        <v>0.1</v>
      </c>
      <c r="I114" s="12" t="n">
        <v>0.4</v>
      </c>
      <c r="J114" s="12" t="n">
        <f aca="false">IF(D114="Promotional Incentive",0,I114)</f>
        <v>0.4</v>
      </c>
      <c r="K114" s="2" t="s">
        <v>305</v>
      </c>
      <c r="L114" s="2" t="s">
        <v>236</v>
      </c>
    </row>
    <row r="115" customFormat="false" ht="15" hidden="false" customHeight="false" outlineLevel="0" collapsed="false">
      <c r="A115" s="2" t="s">
        <v>480</v>
      </c>
      <c r="B115" s="2" t="s">
        <v>481</v>
      </c>
      <c r="C115" s="2" t="s">
        <v>1189</v>
      </c>
      <c r="D115" s="2" t="s">
        <v>1190</v>
      </c>
      <c r="E115" s="2" t="s">
        <v>89</v>
      </c>
      <c r="F115" s="32" t="n">
        <v>-791</v>
      </c>
      <c r="G115" s="14" t="n">
        <f aca="false">IF(D115="Promotional Incentive",0,F115)</f>
        <v>-791</v>
      </c>
      <c r="H115" s="32" t="n">
        <v>0.1</v>
      </c>
      <c r="I115" s="12" t="n">
        <v>-79.1</v>
      </c>
      <c r="J115" s="12" t="n">
        <f aca="false">IF(D115="Promotional Incentive",0,I115)</f>
        <v>-79.1</v>
      </c>
      <c r="K115" s="2" t="s">
        <v>325</v>
      </c>
      <c r="L115" s="2" t="s">
        <v>236</v>
      </c>
    </row>
    <row r="116" customFormat="false" ht="15" hidden="false" customHeight="false" outlineLevel="0" collapsed="false">
      <c r="A116" s="2" t="s">
        <v>483</v>
      </c>
      <c r="B116" s="2" t="s">
        <v>484</v>
      </c>
      <c r="C116" s="2" t="s">
        <v>1192</v>
      </c>
      <c r="D116" s="2" t="s">
        <v>644</v>
      </c>
      <c r="E116" s="2" t="s">
        <v>39</v>
      </c>
      <c r="F116" s="32" t="n">
        <v>312</v>
      </c>
      <c r="G116" s="14" t="n">
        <f aca="false">IF(D116="Promotional Incentive",0,F116)</f>
        <v>312</v>
      </c>
      <c r="H116" s="32" t="n">
        <v>0.1</v>
      </c>
      <c r="I116" s="12" t="n">
        <v>31.2</v>
      </c>
      <c r="J116" s="12" t="n">
        <f aca="false">IF(D116="Promotional Incentive",0,I116)</f>
        <v>31.2</v>
      </c>
      <c r="K116" s="2" t="s">
        <v>295</v>
      </c>
      <c r="L116" s="2" t="s">
        <v>236</v>
      </c>
    </row>
    <row r="117" customFormat="false" ht="15" hidden="false" customHeight="false" outlineLevel="0" collapsed="false">
      <c r="A117" s="2" t="s">
        <v>486</v>
      </c>
      <c r="B117" s="2" t="s">
        <v>487</v>
      </c>
      <c r="C117" s="2" t="s">
        <v>1197</v>
      </c>
      <c r="D117" s="2" t="s">
        <v>1190</v>
      </c>
      <c r="E117" s="2" t="s">
        <v>39</v>
      </c>
      <c r="F117" s="32" t="n">
        <v>-1517</v>
      </c>
      <c r="G117" s="14" t="n">
        <f aca="false">IF(D117="Promotional Incentive",0,F117)</f>
        <v>-1517</v>
      </c>
      <c r="H117" s="32" t="n">
        <v>0.1</v>
      </c>
      <c r="I117" s="12" t="n">
        <v>-151.7</v>
      </c>
      <c r="J117" s="12" t="n">
        <f aca="false">IF(D117="Promotional Incentive",0,I117)</f>
        <v>-151.7</v>
      </c>
      <c r="K117" s="2" t="s">
        <v>312</v>
      </c>
      <c r="L117" s="2" t="s">
        <v>236</v>
      </c>
    </row>
    <row r="118" customFormat="false" ht="15" hidden="false" customHeight="false" outlineLevel="0" collapsed="false">
      <c r="A118" s="15" t="s">
        <v>1324</v>
      </c>
      <c r="B118" s="15"/>
      <c r="C118" s="15"/>
      <c r="D118" s="15"/>
      <c r="E118" s="15"/>
      <c r="F118" s="17" t="n">
        <f aca="false">SUM(F111:F117)</f>
        <v>-2022.3</v>
      </c>
      <c r="G118" s="18" t="n">
        <f aca="false">SUM(G111:G117)</f>
        <v>-2022.3</v>
      </c>
      <c r="H118" s="17"/>
      <c r="I118" s="17" t="n">
        <f aca="false">SUM(I111:I117)</f>
        <v>-202.23</v>
      </c>
      <c r="J118" s="15" t="n">
        <f aca="false">SUM(J111:J117)</f>
        <v>-202.23</v>
      </c>
      <c r="K118" s="15"/>
      <c r="L118" s="15"/>
    </row>
    <row r="119" customFormat="false" ht="15" hidden="false" customHeight="false" outlineLevel="0" collapsed="false">
      <c r="A119" s="2"/>
      <c r="B119" s="2"/>
      <c r="C119" s="2"/>
      <c r="D119" s="2"/>
      <c r="E119" s="2"/>
      <c r="F119" s="12"/>
      <c r="G119" s="14"/>
      <c r="H119" s="12"/>
      <c r="I119" s="12"/>
      <c r="J119" s="2"/>
      <c r="K119" s="2"/>
      <c r="L119" s="2"/>
    </row>
    <row r="120" customFormat="false" ht="15" hidden="false" customHeight="false" outlineLevel="0" collapsed="false">
      <c r="A120" s="6" t="s">
        <v>1325</v>
      </c>
      <c r="B120" s="7"/>
      <c r="C120" s="7"/>
      <c r="D120" s="7"/>
      <c r="E120" s="7"/>
      <c r="F120" s="9"/>
      <c r="G120" s="10"/>
      <c r="H120" s="9"/>
      <c r="I120" s="9"/>
      <c r="J120" s="7"/>
      <c r="K120" s="7"/>
      <c r="L120" s="7"/>
    </row>
    <row r="121" customFormat="false" ht="15" hidden="false" customHeight="false" outlineLevel="0" collapsed="false">
      <c r="A121" s="2" t="s">
        <v>489</v>
      </c>
      <c r="B121" s="2" t="s">
        <v>491</v>
      </c>
      <c r="C121" s="2" t="s">
        <v>1210</v>
      </c>
      <c r="D121" s="2" t="s">
        <v>1202</v>
      </c>
      <c r="E121" s="2" t="s">
        <v>1211</v>
      </c>
      <c r="F121" s="32" t="n">
        <v>0.65</v>
      </c>
      <c r="G121" s="14" t="n">
        <f aca="false">IF(D121="Promotional Incentive",0,F121)</f>
        <v>0.65</v>
      </c>
      <c r="H121" s="32" t="n">
        <v>0.1</v>
      </c>
      <c r="I121" s="12" t="n">
        <v>0.07</v>
      </c>
      <c r="J121" s="12" t="n">
        <f aca="false">IF(D121="Promotional Incentive",0,I121)</f>
        <v>0.07</v>
      </c>
      <c r="K121" s="2" t="s">
        <v>490</v>
      </c>
      <c r="L121" s="2" t="s">
        <v>250</v>
      </c>
    </row>
    <row r="122" customFormat="false" ht="15" hidden="false" customHeight="false" outlineLevel="0" collapsed="false">
      <c r="A122" s="15" t="s">
        <v>1326</v>
      </c>
      <c r="B122" s="15"/>
      <c r="C122" s="15"/>
      <c r="D122" s="15"/>
      <c r="E122" s="15"/>
      <c r="F122" s="17" t="n">
        <f aca="false">SUM(F121:F121)</f>
        <v>0.65</v>
      </c>
      <c r="G122" s="18" t="n">
        <f aca="false">SUM(G121:G121)</f>
        <v>0.65</v>
      </c>
      <c r="H122" s="17"/>
      <c r="I122" s="17" t="n">
        <f aca="false">SUM(I121:I121)</f>
        <v>0.07</v>
      </c>
      <c r="J122" s="15" t="n">
        <f aca="false">SUM(J121:J121)</f>
        <v>0.07</v>
      </c>
      <c r="K122" s="15"/>
      <c r="L122" s="15"/>
    </row>
    <row r="123" customFormat="false" ht="15" hidden="false" customHeight="false" outlineLevel="0" collapsed="false">
      <c r="A123" s="2"/>
      <c r="B123" s="2"/>
      <c r="C123" s="2"/>
      <c r="D123" s="2"/>
      <c r="E123" s="2"/>
      <c r="F123" s="12"/>
      <c r="G123" s="14"/>
      <c r="H123" s="12"/>
      <c r="I123" s="12"/>
      <c r="J123" s="2"/>
      <c r="K123" s="2"/>
      <c r="L123" s="2"/>
    </row>
    <row r="124" customFormat="false" ht="15" hidden="false" customHeight="false" outlineLevel="0" collapsed="false">
      <c r="A124" s="6" t="s">
        <v>1327</v>
      </c>
      <c r="B124" s="7"/>
      <c r="C124" s="7"/>
      <c r="D124" s="7"/>
      <c r="E124" s="7"/>
      <c r="F124" s="9"/>
      <c r="G124" s="10"/>
      <c r="H124" s="9"/>
      <c r="I124" s="9"/>
      <c r="J124" s="7"/>
      <c r="K124" s="7"/>
      <c r="L124" s="7"/>
    </row>
    <row r="125" customFormat="false" ht="15" hidden="false" customHeight="false" outlineLevel="0" collapsed="false">
      <c r="A125" s="2" t="s">
        <v>493</v>
      </c>
      <c r="B125" s="2" t="s">
        <v>497</v>
      </c>
      <c r="C125" s="2" t="s">
        <v>493</v>
      </c>
      <c r="D125" s="2" t="s">
        <v>1223</v>
      </c>
      <c r="E125" s="2" t="s">
        <v>722</v>
      </c>
      <c r="F125" s="32" t="n">
        <v>-402.75</v>
      </c>
      <c r="G125" s="14" t="n">
        <f aca="false">IF(D125="Promotional Incentive",0,F125)</f>
        <v>-402.75</v>
      </c>
      <c r="H125" s="32" t="n">
        <v>0.12</v>
      </c>
      <c r="I125" s="12" t="n">
        <v>-48.33</v>
      </c>
      <c r="J125" s="12" t="n">
        <f aca="false">IF(D125="Promotional Incentive",0,I125)</f>
        <v>-48.33</v>
      </c>
      <c r="K125" s="2" t="s">
        <v>494</v>
      </c>
      <c r="L125" s="2" t="s">
        <v>495</v>
      </c>
    </row>
    <row r="126" customFormat="false" ht="15" hidden="false" customHeight="false" outlineLevel="0" collapsed="false">
      <c r="A126" s="2" t="s">
        <v>493</v>
      </c>
      <c r="B126" s="2" t="s">
        <v>497</v>
      </c>
      <c r="C126" s="2" t="s">
        <v>493</v>
      </c>
      <c r="D126" s="2" t="s">
        <v>1223</v>
      </c>
      <c r="E126" s="2" t="s">
        <v>722</v>
      </c>
      <c r="F126" s="32" t="n">
        <v>21.21</v>
      </c>
      <c r="G126" s="14" t="n">
        <f aca="false">IF(D126="Promotional Incentive",0,F126)</f>
        <v>21.21</v>
      </c>
      <c r="H126" s="32" t="n">
        <v>0.12</v>
      </c>
      <c r="I126" s="12" t="n">
        <v>2.55</v>
      </c>
      <c r="J126" s="12" t="n">
        <f aca="false">IF(D126="Promotional Incentive",0,I126)</f>
        <v>2.55</v>
      </c>
      <c r="K126" s="2" t="s">
        <v>494</v>
      </c>
      <c r="L126" s="2" t="s">
        <v>495</v>
      </c>
    </row>
    <row r="127" customFormat="false" ht="15" hidden="false" customHeight="false" outlineLevel="0" collapsed="false">
      <c r="A127" s="15" t="s">
        <v>1328</v>
      </c>
      <c r="B127" s="15"/>
      <c r="C127" s="15"/>
      <c r="D127" s="15"/>
      <c r="E127" s="15"/>
      <c r="F127" s="17" t="n">
        <f aca="false">SUM(F125:F126)</f>
        <v>-381.54</v>
      </c>
      <c r="G127" s="18" t="n">
        <f aca="false">SUM(G125:G126)</f>
        <v>-381.54</v>
      </c>
      <c r="H127" s="17"/>
      <c r="I127" s="17" t="n">
        <f aca="false">SUM(I125:I126)</f>
        <v>-45.78</v>
      </c>
      <c r="J127" s="15" t="n">
        <f aca="false">SUM(J125:J126)</f>
        <v>-45.78</v>
      </c>
      <c r="K127" s="15"/>
      <c r="L127" s="15"/>
    </row>
    <row r="128" customFormat="false" ht="15" hidden="false" customHeight="false" outlineLevel="0" collapsed="false">
      <c r="A128" s="2"/>
      <c r="B128" s="2"/>
      <c r="C128" s="2"/>
      <c r="D128" s="2"/>
      <c r="E128" s="2"/>
      <c r="F128" s="12"/>
      <c r="G128" s="14"/>
      <c r="H128" s="12"/>
      <c r="I128" s="12"/>
      <c r="J128" s="2"/>
      <c r="K128" s="2"/>
      <c r="L128" s="2"/>
    </row>
    <row r="129" customFormat="false" ht="15" hidden="false" customHeight="false" outlineLevel="0" collapsed="false">
      <c r="A129" s="37" t="s">
        <v>1329</v>
      </c>
      <c r="B129" s="37"/>
      <c r="C129" s="37"/>
      <c r="D129" s="37"/>
      <c r="E129" s="37"/>
      <c r="F129" s="39" t="n">
        <f aca="false">F31+F42+F103+F108+F118+F122+F127</f>
        <v>-24686.1</v>
      </c>
      <c r="G129" s="40" t="n">
        <f aca="false">G31+G42+G103+G108+G118+G122+G127</f>
        <v>-15809.4</v>
      </c>
      <c r="H129" s="39"/>
      <c r="I129" s="39" t="n">
        <f aca="false">I31+I42+I103+I108+I118+I122+I127</f>
        <v>-1860.29</v>
      </c>
      <c r="J129" s="37" t="n">
        <f aca="false">J31+J42+J103+J108+J118+J122+J127</f>
        <v>-1593.97</v>
      </c>
      <c r="K129" s="37"/>
      <c r="L129" s="37"/>
    </row>
    <row r="130" customFormat="false" ht="15" hidden="false" customHeight="false" outlineLevel="0" collapsed="false">
      <c r="A130" s="2"/>
      <c r="B130" s="2"/>
      <c r="C130" s="2"/>
      <c r="D130" s="2"/>
      <c r="E130" s="2"/>
      <c r="F130" s="2"/>
      <c r="G130" s="2"/>
      <c r="H130" s="2"/>
      <c r="I130" s="2"/>
      <c r="J130" s="2"/>
      <c r="K130" s="2"/>
      <c r="L130" s="2"/>
    </row>
    <row r="131" customFormat="false" ht="15" hidden="false" customHeight="false" outlineLevel="0" collapsed="false">
      <c r="A131" s="2"/>
      <c r="B131" s="2"/>
      <c r="C131" s="2"/>
      <c r="D131" s="2"/>
      <c r="E131" s="2"/>
      <c r="F131" s="2"/>
      <c r="G131" s="2"/>
      <c r="H131" s="2"/>
      <c r="I131" s="2"/>
      <c r="J131" s="2"/>
      <c r="K131" s="2"/>
      <c r="L131" s="2"/>
    </row>
    <row r="132" customFormat="false" ht="15" hidden="false" customHeight="false" outlineLevel="0" collapsed="false">
      <c r="A132" s="42" t="s">
        <v>1330</v>
      </c>
      <c r="B132" s="2"/>
      <c r="C132" s="2"/>
      <c r="D132" s="2"/>
      <c r="E132" s="2"/>
      <c r="F132" s="2"/>
      <c r="G132" s="2"/>
      <c r="H132" s="2"/>
      <c r="I132" s="2"/>
      <c r="J132" s="2"/>
      <c r="K132" s="2"/>
      <c r="L132" s="2"/>
    </row>
    <row r="133" customFormat="false" ht="27.75" hidden="false" customHeight="true" outlineLevel="0" collapsed="false">
      <c r="A133" s="43" t="s">
        <v>1331</v>
      </c>
      <c r="B133" s="43"/>
      <c r="C133" s="43"/>
      <c r="D133" s="43"/>
      <c r="E133" s="43"/>
      <c r="F133" s="43"/>
      <c r="G133" s="43"/>
      <c r="H133" s="43"/>
      <c r="I133" s="43"/>
      <c r="J133" s="43"/>
      <c r="K133" s="43"/>
      <c r="L133" s="43"/>
    </row>
    <row r="134" customFormat="false" ht="30" hidden="false" customHeight="true" outlineLevel="0" collapsed="false">
      <c r="A134" s="44" t="s">
        <v>1332</v>
      </c>
      <c r="B134" s="44" t="s">
        <v>1333</v>
      </c>
      <c r="C134" s="44" t="s">
        <v>8</v>
      </c>
      <c r="D134" s="44" t="s">
        <v>1334</v>
      </c>
      <c r="E134" s="44" t="s">
        <v>1335</v>
      </c>
      <c r="F134" s="44" t="s">
        <v>1336</v>
      </c>
      <c r="G134" s="44"/>
      <c r="H134" s="44"/>
      <c r="I134" s="44"/>
      <c r="J134" s="44" t="s">
        <v>1337</v>
      </c>
      <c r="K134" s="44" t="s">
        <v>1313</v>
      </c>
      <c r="L134" s="44" t="s">
        <v>1338</v>
      </c>
    </row>
    <row r="135" customFormat="false" ht="15" hidden="false" customHeight="false" outlineLevel="0" collapsed="false">
      <c r="A135" s="19" t="s">
        <v>502</v>
      </c>
      <c r="B135" s="19" t="s">
        <v>505</v>
      </c>
      <c r="C135" s="19" t="s">
        <v>27</v>
      </c>
      <c r="D135" s="19" t="s">
        <v>504</v>
      </c>
      <c r="E135" s="19" t="s">
        <v>506</v>
      </c>
      <c r="F135" s="19" t="n">
        <v>-10.35</v>
      </c>
      <c r="G135" s="19"/>
      <c r="H135" s="19"/>
      <c r="I135" s="19"/>
      <c r="J135" s="19" t="s">
        <v>645</v>
      </c>
      <c r="K135" s="19"/>
      <c r="L135" s="19" t="s">
        <v>1339</v>
      </c>
    </row>
    <row r="136" customFormat="false" ht="15" hidden="false" customHeight="false" outlineLevel="0" collapsed="false">
      <c r="A136" s="19" t="s">
        <v>508</v>
      </c>
      <c r="B136" s="19" t="s">
        <v>505</v>
      </c>
      <c r="C136" s="19" t="s">
        <v>27</v>
      </c>
      <c r="D136" s="19" t="s">
        <v>504</v>
      </c>
      <c r="E136" s="19" t="s">
        <v>506</v>
      </c>
      <c r="F136" s="19" t="n">
        <v>-22.55</v>
      </c>
      <c r="G136" s="19"/>
      <c r="H136" s="19"/>
      <c r="I136" s="19"/>
      <c r="J136" s="19" t="s">
        <v>645</v>
      </c>
      <c r="K136" s="19"/>
      <c r="L136" s="19" t="s">
        <v>1339</v>
      </c>
    </row>
    <row r="137" customFormat="false" ht="15" hidden="false" customHeight="false" outlineLevel="0" collapsed="false">
      <c r="A137" s="19" t="s">
        <v>509</v>
      </c>
      <c r="B137" s="19" t="s">
        <v>512</v>
      </c>
      <c r="C137" s="19" t="s">
        <v>37</v>
      </c>
      <c r="D137" s="19" t="s">
        <v>511</v>
      </c>
      <c r="E137" s="19" t="s">
        <v>513</v>
      </c>
      <c r="F137" s="19" t="n">
        <v>252.85</v>
      </c>
      <c r="G137" s="19"/>
      <c r="H137" s="19"/>
      <c r="I137" s="19"/>
      <c r="J137" s="19" t="s">
        <v>645</v>
      </c>
      <c r="K137" s="19" t="s">
        <v>510</v>
      </c>
      <c r="L137" s="19" t="s">
        <v>1340</v>
      </c>
    </row>
    <row r="138" customFormat="false" ht="15" hidden="false" customHeight="false" outlineLevel="0" collapsed="false">
      <c r="A138" s="19" t="s">
        <v>515</v>
      </c>
      <c r="B138" s="19" t="s">
        <v>512</v>
      </c>
      <c r="C138" s="19" t="s">
        <v>37</v>
      </c>
      <c r="D138" s="19" t="s">
        <v>511</v>
      </c>
      <c r="E138" s="19" t="s">
        <v>513</v>
      </c>
      <c r="F138" s="19" t="n">
        <v>-266.32</v>
      </c>
      <c r="G138" s="19"/>
      <c r="H138" s="19"/>
      <c r="I138" s="19"/>
      <c r="J138" s="19" t="s">
        <v>645</v>
      </c>
      <c r="K138" s="19" t="s">
        <v>516</v>
      </c>
      <c r="L138" s="19" t="s">
        <v>1340</v>
      </c>
    </row>
    <row r="139" customFormat="false" ht="15" hidden="false" customHeight="false" outlineLevel="0" collapsed="false">
      <c r="A139" s="2" t="s">
        <v>517</v>
      </c>
      <c r="B139" s="2" t="s">
        <v>519</v>
      </c>
      <c r="C139" s="2" t="s">
        <v>208</v>
      </c>
      <c r="D139" s="2" t="s">
        <v>518</v>
      </c>
      <c r="E139" s="2" t="s">
        <v>520</v>
      </c>
      <c r="F139" s="2" t="n">
        <v>-8.36</v>
      </c>
      <c r="G139" s="2"/>
      <c r="H139" s="2"/>
      <c r="I139" s="2"/>
      <c r="J139" s="2" t="s">
        <v>596</v>
      </c>
      <c r="K139" s="2" t="s">
        <v>295</v>
      </c>
      <c r="L139" s="2" t="s">
        <v>521</v>
      </c>
    </row>
    <row r="140" customFormat="false" ht="15" hidden="false" customHeight="false" outlineLevel="0" collapsed="false">
      <c r="A140" s="19" t="s">
        <v>522</v>
      </c>
      <c r="B140" s="19" t="s">
        <v>519</v>
      </c>
      <c r="C140" s="19" t="s">
        <v>208</v>
      </c>
      <c r="D140" s="19" t="s">
        <v>518</v>
      </c>
      <c r="E140" s="19" t="s">
        <v>523</v>
      </c>
      <c r="F140" s="19" t="n">
        <v>-8.36</v>
      </c>
      <c r="G140" s="19"/>
      <c r="H140" s="19"/>
      <c r="I140" s="19"/>
      <c r="J140" s="19" t="s">
        <v>645</v>
      </c>
      <c r="K140" s="19"/>
      <c r="L140" s="19" t="s">
        <v>1341</v>
      </c>
    </row>
    <row r="141" customFormat="false" ht="15" hidden="false" customHeight="false" outlineLevel="0" collapsed="false">
      <c r="A141" s="2" t="s">
        <v>525</v>
      </c>
      <c r="B141" s="2" t="s">
        <v>527</v>
      </c>
      <c r="C141" s="2" t="s">
        <v>236</v>
      </c>
      <c r="D141" s="2" t="s">
        <v>526</v>
      </c>
      <c r="E141" s="2" t="s">
        <v>528</v>
      </c>
      <c r="F141" s="2" t="n">
        <v>-9.02</v>
      </c>
      <c r="G141" s="2"/>
      <c r="H141" s="2"/>
      <c r="I141" s="2"/>
      <c r="J141" s="2" t="s">
        <v>596</v>
      </c>
      <c r="K141" s="2" t="s">
        <v>295</v>
      </c>
      <c r="L141" s="2" t="s">
        <v>529</v>
      </c>
    </row>
    <row r="142" customFormat="false" ht="15" hidden="false" customHeight="false" outlineLevel="0" collapsed="false">
      <c r="A142" s="2" t="s">
        <v>433</v>
      </c>
      <c r="B142" s="2" t="s">
        <v>531</v>
      </c>
      <c r="C142" s="2" t="s">
        <v>236</v>
      </c>
      <c r="D142" s="2" t="s">
        <v>530</v>
      </c>
      <c r="E142" s="2" t="s">
        <v>532</v>
      </c>
      <c r="F142" s="2" t="n">
        <v>-1</v>
      </c>
      <c r="G142" s="2"/>
      <c r="H142" s="2"/>
      <c r="I142" s="2"/>
      <c r="J142" s="2" t="s">
        <v>596</v>
      </c>
      <c r="K142" s="2" t="s">
        <v>312</v>
      </c>
      <c r="L142" s="2" t="s">
        <v>529</v>
      </c>
    </row>
    <row r="143" customFormat="false" ht="15" hidden="false" customHeight="false" outlineLevel="0" collapsed="false">
      <c r="A143" s="2" t="s">
        <v>533</v>
      </c>
      <c r="B143" s="2" t="s">
        <v>535</v>
      </c>
      <c r="C143" s="2" t="s">
        <v>236</v>
      </c>
      <c r="D143" s="2" t="s">
        <v>530</v>
      </c>
      <c r="E143" s="2" t="s">
        <v>536</v>
      </c>
      <c r="F143" s="2" t="n">
        <v>-1</v>
      </c>
      <c r="G143" s="2"/>
      <c r="H143" s="2"/>
      <c r="I143" s="2"/>
      <c r="J143" s="2" t="s">
        <v>596</v>
      </c>
      <c r="K143" s="2" t="s">
        <v>534</v>
      </c>
      <c r="L143" s="2" t="s">
        <v>529</v>
      </c>
    </row>
    <row r="144" customFormat="false" ht="15" hidden="false" customHeight="false" outlineLevel="0" collapsed="false">
      <c r="A144" s="2" t="s">
        <v>537</v>
      </c>
      <c r="B144" s="2" t="s">
        <v>538</v>
      </c>
      <c r="C144" s="2" t="s">
        <v>236</v>
      </c>
      <c r="D144" s="2" t="s">
        <v>530</v>
      </c>
      <c r="E144" s="2" t="s">
        <v>539</v>
      </c>
      <c r="F144" s="2" t="n">
        <v>-1</v>
      </c>
      <c r="G144" s="2"/>
      <c r="H144" s="2"/>
      <c r="I144" s="2"/>
      <c r="J144" s="2" t="s">
        <v>596</v>
      </c>
      <c r="K144" s="2" t="s">
        <v>312</v>
      </c>
      <c r="L144" s="2" t="s">
        <v>529</v>
      </c>
    </row>
    <row r="145" customFormat="false" ht="15" hidden="false" customHeight="false" outlineLevel="0" collapsed="false">
      <c r="A145" s="2" t="s">
        <v>525</v>
      </c>
      <c r="B145" s="2" t="s">
        <v>527</v>
      </c>
      <c r="C145" s="2" t="s">
        <v>236</v>
      </c>
      <c r="D145" s="2" t="s">
        <v>530</v>
      </c>
      <c r="E145" s="2" t="s">
        <v>528</v>
      </c>
      <c r="F145" s="2" t="n">
        <v>-1</v>
      </c>
      <c r="G145" s="2"/>
      <c r="H145" s="2"/>
      <c r="I145" s="2"/>
      <c r="J145" s="2" t="s">
        <v>596</v>
      </c>
      <c r="K145" s="2" t="s">
        <v>295</v>
      </c>
      <c r="L145" s="2" t="s">
        <v>529</v>
      </c>
    </row>
    <row r="146" customFormat="false" ht="15" hidden="false" customHeight="false" outlineLevel="0" collapsed="false">
      <c r="A146" s="2" t="s">
        <v>540</v>
      </c>
      <c r="B146" s="2" t="s">
        <v>541</v>
      </c>
      <c r="C146" s="2" t="s">
        <v>236</v>
      </c>
      <c r="D146" s="2" t="s">
        <v>530</v>
      </c>
      <c r="E146" s="2" t="s">
        <v>542</v>
      </c>
      <c r="F146" s="2" t="n">
        <v>-1</v>
      </c>
      <c r="G146" s="2"/>
      <c r="H146" s="2"/>
      <c r="I146" s="2"/>
      <c r="J146" s="2" t="s">
        <v>596</v>
      </c>
      <c r="K146" s="2" t="s">
        <v>312</v>
      </c>
      <c r="L146" s="2" t="s">
        <v>529</v>
      </c>
    </row>
    <row r="147" customFormat="false" ht="15" hidden="false" customHeight="false" outlineLevel="0" collapsed="false">
      <c r="A147" s="2" t="s">
        <v>543</v>
      </c>
      <c r="B147" s="2" t="s">
        <v>544</v>
      </c>
      <c r="C147" s="2" t="s">
        <v>236</v>
      </c>
      <c r="D147" s="2" t="s">
        <v>530</v>
      </c>
      <c r="E147" s="2" t="s">
        <v>536</v>
      </c>
      <c r="F147" s="2" t="n">
        <v>-1</v>
      </c>
      <c r="G147" s="2"/>
      <c r="H147" s="2"/>
      <c r="I147" s="2"/>
      <c r="J147" s="2" t="s">
        <v>596</v>
      </c>
      <c r="K147" s="2" t="s">
        <v>312</v>
      </c>
      <c r="L147" s="2" t="s">
        <v>529</v>
      </c>
    </row>
    <row r="148" customFormat="false" ht="15" hidden="false" customHeight="false" outlineLevel="0" collapsed="false">
      <c r="A148" s="2" t="s">
        <v>545</v>
      </c>
      <c r="B148" s="2" t="s">
        <v>546</v>
      </c>
      <c r="C148" s="2" t="s">
        <v>236</v>
      </c>
      <c r="D148" s="2" t="s">
        <v>530</v>
      </c>
      <c r="E148" s="2" t="s">
        <v>547</v>
      </c>
      <c r="F148" s="2" t="n">
        <v>-1</v>
      </c>
      <c r="G148" s="2"/>
      <c r="H148" s="2"/>
      <c r="I148" s="2"/>
      <c r="J148" s="2" t="s">
        <v>596</v>
      </c>
      <c r="K148" s="2" t="s">
        <v>452</v>
      </c>
      <c r="L148" s="2" t="s">
        <v>529</v>
      </c>
    </row>
    <row r="149" customFormat="false" ht="15" hidden="false" customHeight="false" outlineLevel="0" collapsed="false">
      <c r="A149" s="2" t="s">
        <v>525</v>
      </c>
      <c r="B149" s="2" t="s">
        <v>527</v>
      </c>
      <c r="C149" s="2" t="s">
        <v>236</v>
      </c>
      <c r="D149" s="2" t="s">
        <v>526</v>
      </c>
      <c r="E149" s="2" t="s">
        <v>528</v>
      </c>
      <c r="F149" s="2" t="n">
        <v>-9.02</v>
      </c>
      <c r="G149" s="2"/>
      <c r="H149" s="2"/>
      <c r="I149" s="2"/>
      <c r="J149" s="2" t="s">
        <v>596</v>
      </c>
      <c r="K149" s="2" t="s">
        <v>295</v>
      </c>
      <c r="L149" s="2" t="s">
        <v>529</v>
      </c>
    </row>
    <row r="150" customFormat="false" ht="15" hidden="false" customHeight="false" outlineLevel="0" collapsed="false">
      <c r="A150" s="2" t="s">
        <v>400</v>
      </c>
      <c r="B150" s="2" t="s">
        <v>548</v>
      </c>
      <c r="C150" s="2" t="s">
        <v>236</v>
      </c>
      <c r="D150" s="2" t="s">
        <v>530</v>
      </c>
      <c r="E150" s="2" t="s">
        <v>542</v>
      </c>
      <c r="F150" s="2" t="n">
        <v>-1</v>
      </c>
      <c r="G150" s="2"/>
      <c r="H150" s="2"/>
      <c r="I150" s="2"/>
      <c r="J150" s="2" t="s">
        <v>596</v>
      </c>
      <c r="K150" s="2" t="s">
        <v>312</v>
      </c>
      <c r="L150" s="2" t="s">
        <v>529</v>
      </c>
    </row>
    <row r="151" customFormat="false" ht="15" hidden="false" customHeight="false" outlineLevel="0" collapsed="false">
      <c r="A151" s="2" t="s">
        <v>543</v>
      </c>
      <c r="B151" s="2" t="s">
        <v>544</v>
      </c>
      <c r="C151" s="2" t="s">
        <v>236</v>
      </c>
      <c r="D151" s="2" t="s">
        <v>526</v>
      </c>
      <c r="E151" s="2" t="s">
        <v>536</v>
      </c>
      <c r="F151" s="2" t="n">
        <v>-9.02</v>
      </c>
      <c r="G151" s="2"/>
      <c r="H151" s="2"/>
      <c r="I151" s="2"/>
      <c r="J151" s="2" t="s">
        <v>596</v>
      </c>
      <c r="K151" s="2" t="s">
        <v>312</v>
      </c>
      <c r="L151" s="2" t="s">
        <v>529</v>
      </c>
    </row>
    <row r="152" customFormat="false" ht="15" hidden="false" customHeight="false" outlineLevel="0" collapsed="false">
      <c r="A152" s="19" t="s">
        <v>549</v>
      </c>
      <c r="B152" s="19" t="s">
        <v>550</v>
      </c>
      <c r="C152" s="19" t="s">
        <v>236</v>
      </c>
      <c r="D152" s="19" t="s">
        <v>530</v>
      </c>
      <c r="E152" s="19" t="s">
        <v>539</v>
      </c>
      <c r="F152" s="19" t="n">
        <v>-1</v>
      </c>
      <c r="G152" s="19"/>
      <c r="H152" s="19"/>
      <c r="I152" s="19"/>
      <c r="J152" s="19" t="s">
        <v>645</v>
      </c>
      <c r="K152" s="19"/>
      <c r="L152" s="19" t="s">
        <v>529</v>
      </c>
    </row>
    <row r="153" customFormat="false" ht="15" hidden="false" customHeight="false" outlineLevel="0" collapsed="false">
      <c r="A153" s="19" t="s">
        <v>552</v>
      </c>
      <c r="B153" s="19" t="s">
        <v>553</v>
      </c>
      <c r="C153" s="19" t="s">
        <v>236</v>
      </c>
      <c r="D153" s="19" t="s">
        <v>530</v>
      </c>
      <c r="E153" s="19" t="s">
        <v>554</v>
      </c>
      <c r="F153" s="19" t="n">
        <v>-1</v>
      </c>
      <c r="G153" s="19"/>
      <c r="H153" s="19"/>
      <c r="I153" s="19"/>
      <c r="J153" s="19" t="s">
        <v>645</v>
      </c>
      <c r="K153" s="19"/>
      <c r="L153" s="19" t="s">
        <v>529</v>
      </c>
    </row>
    <row r="154" customFormat="false" ht="15" hidden="false" customHeight="false" outlineLevel="0" collapsed="false">
      <c r="A154" s="19" t="s">
        <v>555</v>
      </c>
      <c r="B154" s="19" t="s">
        <v>556</v>
      </c>
      <c r="C154" s="19" t="s">
        <v>236</v>
      </c>
      <c r="D154" s="19" t="s">
        <v>530</v>
      </c>
      <c r="E154" s="19" t="s">
        <v>557</v>
      </c>
      <c r="F154" s="19" t="n">
        <v>-1</v>
      </c>
      <c r="G154" s="19"/>
      <c r="H154" s="19"/>
      <c r="I154" s="19"/>
      <c r="J154" s="19" t="s">
        <v>645</v>
      </c>
      <c r="K154" s="19"/>
      <c r="L154" s="19" t="s">
        <v>529</v>
      </c>
    </row>
    <row r="155" customFormat="false" ht="15" hidden="false" customHeight="false" outlineLevel="0" collapsed="false">
      <c r="A155" s="19" t="s">
        <v>558</v>
      </c>
      <c r="B155" s="19" t="s">
        <v>559</v>
      </c>
      <c r="C155" s="19" t="s">
        <v>236</v>
      </c>
      <c r="D155" s="19" t="s">
        <v>526</v>
      </c>
      <c r="E155" s="19" t="s">
        <v>557</v>
      </c>
      <c r="F155" s="19" t="n">
        <v>-9.02</v>
      </c>
      <c r="G155" s="19"/>
      <c r="H155" s="19"/>
      <c r="I155" s="19"/>
      <c r="J155" s="19" t="s">
        <v>645</v>
      </c>
      <c r="K155" s="19"/>
      <c r="L155" s="19" t="s">
        <v>529</v>
      </c>
    </row>
    <row r="156" customFormat="false" ht="15" hidden="false" customHeight="false" outlineLevel="0" collapsed="false">
      <c r="A156" s="19" t="s">
        <v>560</v>
      </c>
      <c r="B156" s="19" t="s">
        <v>561</v>
      </c>
      <c r="C156" s="19" t="s">
        <v>236</v>
      </c>
      <c r="D156" s="19" t="s">
        <v>530</v>
      </c>
      <c r="E156" s="19" t="s">
        <v>562</v>
      </c>
      <c r="F156" s="19" t="n">
        <v>-1</v>
      </c>
      <c r="G156" s="19"/>
      <c r="H156" s="19"/>
      <c r="I156" s="19"/>
      <c r="J156" s="19" t="s">
        <v>645</v>
      </c>
      <c r="K156" s="19"/>
      <c r="L156" s="19" t="s">
        <v>529</v>
      </c>
    </row>
    <row r="157" customFormat="false" ht="15" hidden="false" customHeight="false" outlineLevel="0" collapsed="false">
      <c r="A157" s="19" t="s">
        <v>563</v>
      </c>
      <c r="B157" s="19" t="s">
        <v>564</v>
      </c>
      <c r="C157" s="19" t="s">
        <v>236</v>
      </c>
      <c r="D157" s="19" t="s">
        <v>530</v>
      </c>
      <c r="E157" s="19" t="s">
        <v>528</v>
      </c>
      <c r="F157" s="19" t="n">
        <v>-1</v>
      </c>
      <c r="G157" s="19"/>
      <c r="H157" s="19"/>
      <c r="I157" s="19"/>
      <c r="J157" s="19" t="s">
        <v>645</v>
      </c>
      <c r="K157" s="19"/>
      <c r="L157" s="19" t="s">
        <v>529</v>
      </c>
    </row>
    <row r="158" customFormat="false" ht="15" hidden="false" customHeight="false" outlineLevel="0" collapsed="false">
      <c r="A158" s="19" t="s">
        <v>565</v>
      </c>
      <c r="B158" s="19" t="s">
        <v>566</v>
      </c>
      <c r="C158" s="19" t="s">
        <v>236</v>
      </c>
      <c r="D158" s="19" t="s">
        <v>530</v>
      </c>
      <c r="E158" s="19" t="s">
        <v>532</v>
      </c>
      <c r="F158" s="19" t="n">
        <v>-1</v>
      </c>
      <c r="G158" s="19"/>
      <c r="H158" s="19"/>
      <c r="I158" s="19"/>
      <c r="J158" s="19" t="s">
        <v>645</v>
      </c>
      <c r="K158" s="19"/>
      <c r="L158" s="19" t="s">
        <v>529</v>
      </c>
    </row>
    <row r="159" customFormat="false" ht="15" hidden="false" customHeight="false" outlineLevel="0" collapsed="false">
      <c r="A159" s="19" t="s">
        <v>567</v>
      </c>
      <c r="B159" s="19" t="s">
        <v>559</v>
      </c>
      <c r="C159" s="19" t="s">
        <v>236</v>
      </c>
      <c r="D159" s="19" t="s">
        <v>526</v>
      </c>
      <c r="E159" s="19" t="s">
        <v>557</v>
      </c>
      <c r="F159" s="19" t="n">
        <v>-9.02</v>
      </c>
      <c r="G159" s="19"/>
      <c r="H159" s="19"/>
      <c r="I159" s="19"/>
      <c r="J159" s="19" t="s">
        <v>645</v>
      </c>
      <c r="K159" s="19"/>
      <c r="L159" s="19" t="s">
        <v>529</v>
      </c>
    </row>
    <row r="160" customFormat="false" ht="15" hidden="false" customHeight="false" outlineLevel="0" collapsed="false">
      <c r="A160" s="19" t="s">
        <v>568</v>
      </c>
      <c r="B160" s="19" t="s">
        <v>569</v>
      </c>
      <c r="C160" s="19" t="s">
        <v>236</v>
      </c>
      <c r="D160" s="19" t="s">
        <v>530</v>
      </c>
      <c r="E160" s="19" t="s">
        <v>570</v>
      </c>
      <c r="F160" s="19" t="n">
        <v>-1</v>
      </c>
      <c r="G160" s="19"/>
      <c r="H160" s="19"/>
      <c r="I160" s="19"/>
      <c r="J160" s="19" t="s">
        <v>645</v>
      </c>
      <c r="K160" s="19"/>
      <c r="L160" s="19" t="s">
        <v>529</v>
      </c>
    </row>
    <row r="161" customFormat="false" ht="15" hidden="false" customHeight="false" outlineLevel="0" collapsed="false">
      <c r="A161" s="19" t="s">
        <v>571</v>
      </c>
      <c r="B161" s="19" t="s">
        <v>559</v>
      </c>
      <c r="C161" s="19" t="s">
        <v>236</v>
      </c>
      <c r="D161" s="19" t="s">
        <v>530</v>
      </c>
      <c r="E161" s="19" t="s">
        <v>557</v>
      </c>
      <c r="F161" s="19" t="n">
        <v>-1</v>
      </c>
      <c r="G161" s="19"/>
      <c r="H161" s="19"/>
      <c r="I161" s="19"/>
      <c r="J161" s="19" t="s">
        <v>645</v>
      </c>
      <c r="K161" s="19"/>
      <c r="L161" s="19" t="s">
        <v>529</v>
      </c>
    </row>
    <row r="162" customFormat="false" ht="15" hidden="false" customHeight="false" outlineLevel="0" collapsed="false">
      <c r="A162" s="19" t="s">
        <v>572</v>
      </c>
      <c r="B162" s="19" t="s">
        <v>573</v>
      </c>
      <c r="C162" s="19" t="s">
        <v>236</v>
      </c>
      <c r="D162" s="19" t="s">
        <v>530</v>
      </c>
      <c r="E162" s="19" t="s">
        <v>574</v>
      </c>
      <c r="F162" s="19" t="n">
        <v>-1</v>
      </c>
      <c r="G162" s="19"/>
      <c r="H162" s="19"/>
      <c r="I162" s="19"/>
      <c r="J162" s="19" t="s">
        <v>645</v>
      </c>
      <c r="K162" s="19"/>
      <c r="L162" s="19" t="s">
        <v>529</v>
      </c>
    </row>
    <row r="163" customFormat="false" ht="15" hidden="false" customHeight="false" outlineLevel="0" collapsed="false">
      <c r="A163" s="15" t="s">
        <v>1342</v>
      </c>
      <c r="B163" s="15"/>
      <c r="C163" s="15"/>
      <c r="D163" s="15"/>
      <c r="E163" s="15"/>
      <c r="F163" s="15" t="n">
        <f aca="false">SUM(F135:F162)</f>
        <v>-125.19</v>
      </c>
      <c r="G163" s="15"/>
      <c r="H163" s="15"/>
      <c r="I163" s="15"/>
      <c r="J163" s="15"/>
      <c r="K163" s="15"/>
      <c r="L163" s="15"/>
    </row>
    <row r="164" customFormat="false" ht="15" hidden="false" customHeight="false" outlineLevel="0" collapsed="false">
      <c r="A164" s="37" t="s">
        <v>1343</v>
      </c>
      <c r="B164" s="37"/>
      <c r="C164" s="37"/>
      <c r="D164" s="37"/>
      <c r="E164" s="37"/>
      <c r="F164" s="37" t="n">
        <f aca="false">SUMIF(J135:J162,"YES",F135:F162)</f>
        <v>-43.42</v>
      </c>
      <c r="G164" s="37"/>
      <c r="H164" s="37"/>
      <c r="I164" s="37"/>
      <c r="J164" s="37"/>
      <c r="K164" s="37"/>
      <c r="L164" s="37"/>
    </row>
  </sheetData>
  <autoFilter ref="A4:K128"/>
  <mergeCells count="2">
    <mergeCell ref="A2:K2"/>
    <mergeCell ref="A133:L1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40"/>
  </cols>
  <sheetData>
    <row r="1" customFormat="false" ht="29.85" hidden="false" customHeight="false" outlineLevel="0" collapsed="false">
      <c r="A1" s="45" t="s">
        <v>1344</v>
      </c>
      <c r="B1" s="46"/>
    </row>
    <row r="2" customFormat="false" ht="15" hidden="false" customHeight="false" outlineLevel="0" collapsed="false">
      <c r="A2" s="46"/>
      <c r="B2" s="46"/>
    </row>
    <row r="3" customFormat="false" ht="15" hidden="false" customHeight="false" outlineLevel="0" collapsed="false">
      <c r="A3" s="47" t="s">
        <v>1345</v>
      </c>
      <c r="B3" s="46"/>
    </row>
    <row r="4" customFormat="false" ht="15" hidden="false" customHeight="false" outlineLevel="0" collapsed="false">
      <c r="A4" s="46" t="s">
        <v>1346</v>
      </c>
      <c r="B4" s="46" t="s">
        <v>1347</v>
      </c>
    </row>
    <row r="5" customFormat="false" ht="15" hidden="false" customHeight="false" outlineLevel="0" collapsed="false">
      <c r="A5" s="46" t="s">
        <v>1348</v>
      </c>
      <c r="B5" s="46" t="s">
        <v>1349</v>
      </c>
    </row>
    <row r="6" customFormat="false" ht="15" hidden="false" customHeight="false" outlineLevel="0" collapsed="false">
      <c r="A6" s="46" t="s">
        <v>44</v>
      </c>
      <c r="B6" s="46" t="s">
        <v>1350</v>
      </c>
    </row>
    <row r="7" customFormat="false" ht="15" hidden="false" customHeight="false" outlineLevel="0" collapsed="false">
      <c r="A7" s="46" t="s">
        <v>27</v>
      </c>
      <c r="B7" s="46" t="s">
        <v>1351</v>
      </c>
    </row>
    <row r="8" customFormat="false" ht="15" hidden="false" customHeight="false" outlineLevel="0" collapsed="false">
      <c r="A8" s="46" t="s">
        <v>37</v>
      </c>
      <c r="B8" s="46" t="s">
        <v>1352</v>
      </c>
    </row>
    <row r="9" customFormat="false" ht="15" hidden="false" customHeight="false" outlineLevel="0" collapsed="false">
      <c r="A9" s="46" t="s">
        <v>208</v>
      </c>
      <c r="B9" s="46" t="s">
        <v>1353</v>
      </c>
    </row>
    <row r="10" customFormat="false" ht="15" hidden="false" customHeight="false" outlineLevel="0" collapsed="false">
      <c r="A10" s="46" t="s">
        <v>236</v>
      </c>
      <c r="B10" s="46" t="s">
        <v>1354</v>
      </c>
    </row>
    <row r="11" customFormat="false" ht="15" hidden="false" customHeight="false" outlineLevel="0" collapsed="false">
      <c r="A11" s="46" t="s">
        <v>250</v>
      </c>
      <c r="B11" s="46" t="s">
        <v>1355</v>
      </c>
    </row>
    <row r="12" customFormat="false" ht="15" hidden="false" customHeight="false" outlineLevel="0" collapsed="false">
      <c r="A12" s="46" t="s">
        <v>496</v>
      </c>
      <c r="B12" s="46" t="s">
        <v>1356</v>
      </c>
    </row>
    <row r="13" customFormat="false" ht="15" hidden="false" customHeight="false" outlineLevel="0" collapsed="false">
      <c r="A13" s="46"/>
      <c r="B13" s="46"/>
    </row>
    <row r="14" customFormat="false" ht="15" hidden="false" customHeight="false" outlineLevel="0" collapsed="false">
      <c r="A14" s="47" t="s">
        <v>1357</v>
      </c>
      <c r="B14" s="46"/>
    </row>
    <row r="15" customFormat="false" ht="15" hidden="false" customHeight="false" outlineLevel="0" collapsed="false">
      <c r="A15" s="46" t="s">
        <v>1358</v>
      </c>
      <c r="B15" s="46" t="s">
        <v>1359</v>
      </c>
    </row>
    <row r="16" customFormat="false" ht="23.85" hidden="false" customHeight="false" outlineLevel="0" collapsed="false">
      <c r="A16" s="46" t="s">
        <v>1360</v>
      </c>
      <c r="B16" s="46" t="s">
        <v>1361</v>
      </c>
    </row>
    <row r="17" customFormat="false" ht="15" hidden="false" customHeight="false" outlineLevel="0" collapsed="false">
      <c r="A17" s="46" t="s">
        <v>1362</v>
      </c>
      <c r="B17" s="46" t="s">
        <v>1363</v>
      </c>
    </row>
    <row r="18" customFormat="false" ht="15" hidden="false" customHeight="false" outlineLevel="0" collapsed="false">
      <c r="A18" s="46" t="s">
        <v>1364</v>
      </c>
      <c r="B18" s="46" t="s">
        <v>1365</v>
      </c>
    </row>
    <row r="19" customFormat="false" ht="15" hidden="false" customHeight="false" outlineLevel="0" collapsed="false">
      <c r="A19" s="46" t="s">
        <v>1366</v>
      </c>
      <c r="B19" s="46" t="s">
        <v>1367</v>
      </c>
    </row>
    <row r="20" customFormat="false" ht="35.05" hidden="false" customHeight="false" outlineLevel="0" collapsed="false">
      <c r="A20" s="46" t="s">
        <v>1368</v>
      </c>
      <c r="B20" s="46" t="s">
        <v>1369</v>
      </c>
    </row>
    <row r="21" customFormat="false" ht="35.05" hidden="false" customHeight="false" outlineLevel="0" collapsed="false">
      <c r="A21" s="46" t="s">
        <v>1370</v>
      </c>
      <c r="B21" s="46" t="s">
        <v>1371</v>
      </c>
    </row>
    <row r="22" customFormat="false" ht="23.85" hidden="false" customHeight="false" outlineLevel="0" collapsed="false">
      <c r="A22" s="46" t="s">
        <v>1372</v>
      </c>
      <c r="B22" s="46" t="s">
        <v>1373</v>
      </c>
    </row>
    <row r="23" customFormat="false" ht="23.85" hidden="false" customHeight="false" outlineLevel="0" collapsed="false">
      <c r="A23" s="46" t="s">
        <v>1374</v>
      </c>
      <c r="B23" s="46" t="s">
        <v>1375</v>
      </c>
    </row>
    <row r="24" customFormat="false" ht="23.85" hidden="false" customHeight="false" outlineLevel="0" collapsed="false">
      <c r="A24" s="46" t="s">
        <v>1376</v>
      </c>
      <c r="B24" s="46" t="s">
        <v>1377</v>
      </c>
    </row>
    <row r="25" customFormat="false" ht="15" hidden="false" customHeight="false" outlineLevel="0" collapsed="false">
      <c r="A25" s="46" t="s">
        <v>1378</v>
      </c>
      <c r="B25" s="46" t="s">
        <v>1379</v>
      </c>
    </row>
    <row r="26" customFormat="false" ht="15" hidden="false" customHeight="false" outlineLevel="0" collapsed="false">
      <c r="A26" s="46" t="s">
        <v>1380</v>
      </c>
      <c r="B26" s="46" t="s">
        <v>1381</v>
      </c>
    </row>
    <row r="27" customFormat="false" ht="23.85" hidden="false" customHeight="false" outlineLevel="0" collapsed="false">
      <c r="A27" s="46" t="s">
        <v>1382</v>
      </c>
      <c r="B27" s="46" t="s">
        <v>1383</v>
      </c>
    </row>
    <row r="28" customFormat="false" ht="23.85" hidden="false" customHeight="false" outlineLevel="0" collapsed="false">
      <c r="A28" s="46" t="s">
        <v>1384</v>
      </c>
      <c r="B28" s="46" t="s">
        <v>1385</v>
      </c>
    </row>
    <row r="29" customFormat="false" ht="15" hidden="false" customHeight="false" outlineLevel="0" collapsed="false">
      <c r="A29" s="46"/>
      <c r="B29" s="46"/>
    </row>
    <row r="30" customFormat="false" ht="15" hidden="false" customHeight="false" outlineLevel="0" collapsed="false">
      <c r="A30" s="47" t="s">
        <v>1386</v>
      </c>
      <c r="B30" s="46"/>
    </row>
    <row r="31" customFormat="false" ht="35.05" hidden="false" customHeight="false" outlineLevel="0" collapsed="false">
      <c r="A31" s="46" t="s">
        <v>1387</v>
      </c>
      <c r="B31" s="46" t="s">
        <v>1388</v>
      </c>
    </row>
    <row r="32" customFormat="false" ht="23.85" hidden="false" customHeight="false" outlineLevel="0" collapsed="false">
      <c r="A32" s="46" t="s">
        <v>1389</v>
      </c>
      <c r="B32" s="46" t="s">
        <v>1390</v>
      </c>
    </row>
    <row r="33" customFormat="false" ht="23.85" hidden="false" customHeight="false" outlineLevel="0" collapsed="false">
      <c r="A33" s="46" t="s">
        <v>496</v>
      </c>
      <c r="B33" s="46" t="s">
        <v>1391</v>
      </c>
    </row>
    <row r="34" customFormat="false" ht="15" hidden="false" customHeight="false" outlineLevel="0" collapsed="false">
      <c r="A34" s="46"/>
      <c r="B34" s="46"/>
    </row>
    <row r="35" customFormat="false" ht="15" hidden="false" customHeight="false" outlineLevel="0" collapsed="false">
      <c r="A35" s="47" t="s">
        <v>1392</v>
      </c>
      <c r="B35" s="46"/>
    </row>
    <row r="36" customFormat="false" ht="23.85" hidden="false" customHeight="false" outlineLevel="0" collapsed="false">
      <c r="A36" s="46" t="s">
        <v>1393</v>
      </c>
      <c r="B36" s="46" t="s">
        <v>1394</v>
      </c>
    </row>
    <row r="37" customFormat="false" ht="35.05" hidden="false" customHeight="false" outlineLevel="0" collapsed="false">
      <c r="A37" s="46" t="s">
        <v>1395</v>
      </c>
      <c r="B37" s="46" t="s">
        <v>1396</v>
      </c>
    </row>
    <row r="38" customFormat="false" ht="23.85" hidden="false" customHeight="false" outlineLevel="0" collapsed="false">
      <c r="A38" s="46" t="s">
        <v>1397</v>
      </c>
      <c r="B38" s="46" t="s">
        <v>1398</v>
      </c>
    </row>
    <row r="39" customFormat="false" ht="15" hidden="false" customHeight="false" outlineLevel="0" collapsed="false">
      <c r="A39" s="46" t="s">
        <v>1399</v>
      </c>
      <c r="B39" s="46" t="s">
        <v>1400</v>
      </c>
    </row>
    <row r="40" customFormat="false" ht="15" hidden="false" customHeight="false" outlineLevel="0" collapsed="false">
      <c r="A40" s="46" t="s">
        <v>1401</v>
      </c>
      <c r="B40" s="46" t="s">
        <v>1402</v>
      </c>
    </row>
    <row r="41" customFormat="false" ht="15" hidden="false" customHeight="false" outlineLevel="0" collapsed="false">
      <c r="A41" s="46" t="s">
        <v>1403</v>
      </c>
      <c r="B41" s="46" t="s">
        <v>1404</v>
      </c>
    </row>
    <row r="42" customFormat="false" ht="15" hidden="false" customHeight="false" outlineLevel="0" collapsed="false">
      <c r="A42" s="46"/>
      <c r="B42" s="46"/>
    </row>
    <row r="43" customFormat="false" ht="15" hidden="false" customHeight="false" outlineLevel="0" collapsed="false">
      <c r="A43" s="47" t="s">
        <v>1405</v>
      </c>
      <c r="B43" s="46"/>
    </row>
    <row r="44" customFormat="false" ht="23.85" hidden="false" customHeight="false" outlineLevel="0" collapsed="false">
      <c r="A44" s="46" t="s">
        <v>1406</v>
      </c>
      <c r="B44" s="46" t="s">
        <v>1407</v>
      </c>
    </row>
    <row r="45" customFormat="false" ht="35.05" hidden="false" customHeight="false" outlineLevel="0" collapsed="false">
      <c r="A45" s="46" t="s">
        <v>1408</v>
      </c>
      <c r="B45" s="46" t="s">
        <v>1409</v>
      </c>
    </row>
    <row r="46" customFormat="false" ht="23.85" hidden="false" customHeight="false" outlineLevel="0" collapsed="false">
      <c r="A46" s="46" t="s">
        <v>1410</v>
      </c>
      <c r="B46" s="46" t="s">
        <v>1411</v>
      </c>
    </row>
    <row r="47" customFormat="false" ht="23.85" hidden="false" customHeight="false" outlineLevel="0" collapsed="false">
      <c r="A47" s="46" t="s">
        <v>236</v>
      </c>
      <c r="B47" s="46" t="s">
        <v>1412</v>
      </c>
    </row>
    <row r="48" customFormat="false" ht="15" hidden="false" customHeight="false" outlineLevel="0" collapsed="false">
      <c r="A48" s="46" t="s">
        <v>1413</v>
      </c>
      <c r="B48" s="46" t="s">
        <v>1414</v>
      </c>
    </row>
    <row r="49" customFormat="false" ht="15" hidden="false" customHeight="false" outlineLevel="0" collapsed="false">
      <c r="A49" s="46" t="s">
        <v>1415</v>
      </c>
      <c r="B49" s="46" t="s">
        <v>1416</v>
      </c>
    </row>
    <row r="50" customFormat="false" ht="15" hidden="false" customHeight="false" outlineLevel="0" collapsed="false">
      <c r="A50" s="46"/>
      <c r="B50" s="46"/>
    </row>
    <row r="51" customFormat="false" ht="15" hidden="false" customHeight="false" outlineLevel="0" collapsed="false">
      <c r="A51" s="47" t="s">
        <v>1417</v>
      </c>
      <c r="B51" s="46"/>
    </row>
    <row r="52" customFormat="false" ht="15" hidden="false" customHeight="false" outlineLevel="0" collapsed="false">
      <c r="A52" s="46" t="s">
        <v>1418</v>
      </c>
      <c r="B52" s="46" t="s">
        <v>1419</v>
      </c>
    </row>
    <row r="53" customFormat="false" ht="23.85" hidden="false" customHeight="false" outlineLevel="0" collapsed="false">
      <c r="A53" s="46" t="s">
        <v>1420</v>
      </c>
      <c r="B53" s="46" t="s">
        <v>1421</v>
      </c>
    </row>
    <row r="54" customFormat="false" ht="23.85" hidden="false" customHeight="false" outlineLevel="0" collapsed="false">
      <c r="A54" s="46" t="s">
        <v>1422</v>
      </c>
      <c r="B54" s="46" t="s">
        <v>1423</v>
      </c>
    </row>
    <row r="55" customFormat="false" ht="23.85" hidden="false" customHeight="false" outlineLevel="0" collapsed="false">
      <c r="A55" s="46" t="s">
        <v>1424</v>
      </c>
      <c r="B55" s="46" t="s">
        <v>1425</v>
      </c>
    </row>
    <row r="56" customFormat="false" ht="23.85" hidden="false" customHeight="false" outlineLevel="0" collapsed="false">
      <c r="A56" s="46" t="s">
        <v>1426</v>
      </c>
      <c r="B56" s="46" t="s">
        <v>1427</v>
      </c>
    </row>
    <row r="57" customFormat="false" ht="15" hidden="false" customHeight="false" outlineLevel="0" collapsed="false">
      <c r="A57" s="46"/>
      <c r="B57" s="46"/>
    </row>
    <row r="58" customFormat="false" ht="15" hidden="false" customHeight="false" outlineLevel="0" collapsed="false">
      <c r="A58" s="47" t="s">
        <v>1428</v>
      </c>
      <c r="B58" s="46"/>
    </row>
    <row r="59" customFormat="false" ht="23.85" hidden="false" customHeight="false" outlineLevel="0" collapsed="false">
      <c r="A59" s="46" t="s">
        <v>1429</v>
      </c>
      <c r="B59" s="46" t="s">
        <v>1430</v>
      </c>
    </row>
    <row r="60" customFormat="false" ht="23.85" hidden="false" customHeight="false" outlineLevel="0" collapsed="false">
      <c r="A60" s="46" t="s">
        <v>1431</v>
      </c>
      <c r="B60" s="46" t="s">
        <v>1432</v>
      </c>
    </row>
    <row r="61" customFormat="false" ht="23.85" hidden="false" customHeight="false" outlineLevel="0" collapsed="false">
      <c r="A61" s="46" t="s">
        <v>1433</v>
      </c>
      <c r="B61" s="46" t="s">
        <v>1434</v>
      </c>
    </row>
    <row r="62" customFormat="false" ht="15" hidden="false" customHeight="false" outlineLevel="0" collapsed="false">
      <c r="A62" s="46" t="s">
        <v>1435</v>
      </c>
      <c r="B62" s="46" t="s">
        <v>1436</v>
      </c>
    </row>
    <row r="63" customFormat="false" ht="15" hidden="false" customHeight="false" outlineLevel="0" collapsed="false">
      <c r="A63" s="46" t="s">
        <v>1437</v>
      </c>
      <c r="B63" s="46" t="s">
        <v>1438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2026-08-11T17:24:11Z</dcterms:created>
  <dc:creator>openpyxl</dc:creator>
  <dc:description/>
  <dc:language>en-US</dc:language>
  <cp:lastModifiedBy/>
  <dcterms:modified xsi:type="dcterms:W3CDTF">2026-08-11T17:24:11Z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