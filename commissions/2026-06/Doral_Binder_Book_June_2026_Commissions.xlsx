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 Summary" sheetId="1" state="visible" r:id="rId3"/>
    <sheet name="Transaction Detail" sheetId="2" state="visible" r:id="rId4"/>
    <sheet name="Carrier Recap" sheetId="3" state="visible" r:id="rId5"/>
    <sheet name="Notes &amp; Sources" sheetId="4" state="visible" r:id="rId6"/>
  </sheets>
  <definedNames>
    <definedName function="false" hidden="true" localSheetId="0" name="_xlnm._FilterDatabase" vbProcedure="false">'Commission Summary'!$A$5:$Q$75</definedName>
    <definedName function="false" hidden="true" localSheetId="1" name="_xlnm._FilterDatabase" vbProcedure="false">'Transaction Detail'!$A$1:$M$263</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No client on the Doral binder book appears on the GEICO statement. That statement covers writing agents Alberto Manzor Jr and Amanda Montano, not the Doral (Jorge) book.</t>
        </r>
      </text>
    </comment>
  </commentList>
</comments>
</file>

<file path=xl/sharedStrings.xml><?xml version="1.0" encoding="utf-8"?>
<sst xmlns="http://schemas.openxmlformats.org/spreadsheetml/2006/main" count="2917" uniqueCount="901">
  <si>
    <t xml:space="preserve">Doral Office Binder Book - June 2026 Commission Statement</t>
  </si>
  <si>
    <t xml:space="preserve">Universal Insurance Brokers  |  Producer: Jorge  |  Statement period 06/01/2026 - 06/30/2026</t>
  </si>
  <si>
    <t xml:space="preserve">Commissions taken from each carrier commission statement at the rate that carrier shows.</t>
  </si>
  <si>
    <t xml:space="preserve">Producer</t>
  </si>
  <si>
    <t xml:space="preserve">Customer Name</t>
  </si>
  <si>
    <t xml:space="preserve">Binder Status</t>
  </si>
  <si>
    <t xml:space="preserve">New / Renewal</t>
  </si>
  <si>
    <t xml:space="preserve">Line of Business</t>
  </si>
  <si>
    <t xml:space="preserve">Carrier</t>
  </si>
  <si>
    <t xml:space="preserve">Policy Number</t>
  </si>
  <si>
    <t xml:space="preserve">Eff. Date</t>
  </si>
  <si>
    <t xml:space="preserve">Term (mo)</t>
  </si>
  <si>
    <t xml:space="preserve">Binder Premium</t>
  </si>
  <si>
    <t xml:space="preserve">Carrier Statement Used</t>
  </si>
  <si>
    <t xml:space="preserve"># Txns</t>
  </si>
  <si>
    <t xml:space="preserve">Carrier Comm Rate</t>
  </si>
  <si>
    <t xml:space="preserve">Commissionable Premium</t>
  </si>
  <si>
    <t xml:space="preserve">Commission Earned</t>
  </si>
  <si>
    <t xml:space="preserve">Effective Rate</t>
  </si>
  <si>
    <t xml:space="preserve">Notes</t>
  </si>
  <si>
    <t xml:space="preserve">key</t>
  </si>
  <si>
    <t xml:space="preserve">NEW BUSINESS</t>
  </si>
  <si>
    <t xml:space="preserve">Jorge</t>
  </si>
  <si>
    <t xml:space="preserve">MARLENE CASTILLO</t>
  </si>
  <si>
    <t xml:space="preserve">Active</t>
  </si>
  <si>
    <t xml:space="preserve">New Business</t>
  </si>
  <si>
    <t xml:space="preserve">Personal Auto</t>
  </si>
  <si>
    <t xml:space="preserve">Infinity</t>
  </si>
  <si>
    <t xml:space="preserve">10268755201</t>
  </si>
  <si>
    <t xml:space="preserve">6/1/2026</t>
  </si>
  <si>
    <t xml:space="preserve">Kemper Auto Monthly Producer Stmt 06/2026</t>
  </si>
  <si>
    <t xml:space="preserve">Infinity|10268755201</t>
  </si>
  <si>
    <t xml:space="preserve">LIONEL JOHNSON</t>
  </si>
  <si>
    <t xml:space="preserve">10268783901</t>
  </si>
  <si>
    <t xml:space="preserve">6/5/2026</t>
  </si>
  <si>
    <t xml:space="preserve">Infinity|10268783901</t>
  </si>
  <si>
    <t xml:space="preserve">LUIS A. ORTIZ</t>
  </si>
  <si>
    <t xml:space="preserve">United Auto</t>
  </si>
  <si>
    <t xml:space="preserve">UAO 692181</t>
  </si>
  <si>
    <t xml:space="preserve">6/2/2026</t>
  </si>
  <si>
    <t xml:space="preserve">No statement provided</t>
  </si>
  <si>
    <t xml:space="preserve">United Auto commission statement was not included in the files provided - commission cannot be calculated.</t>
  </si>
  <si>
    <t xml:space="preserve">United Auto|UAO692181</t>
  </si>
  <si>
    <t xml:space="preserve">GREGORIO QUIROZ</t>
  </si>
  <si>
    <t xml:space="preserve">Progressive</t>
  </si>
  <si>
    <t xml:space="preserve">875244202</t>
  </si>
  <si>
    <t xml:space="preserve">6/6/2026</t>
  </si>
  <si>
    <t xml:space="preserve">Progressive Detailed Statement 06/2026</t>
  </si>
  <si>
    <t xml:space="preserve">Progressive|875244202</t>
  </si>
  <si>
    <t xml:space="preserve">JULIO RAMIREZ</t>
  </si>
  <si>
    <t xml:space="preserve">875310026</t>
  </si>
  <si>
    <t xml:space="preserve">6/8/2026</t>
  </si>
  <si>
    <t xml:space="preserve">3 transactions netted: Credit Endorsement -277.00; New Business 1,935.00; Credit Endorsement -244.71</t>
  </si>
  <si>
    <t xml:space="preserve">Progressive|875310026</t>
  </si>
  <si>
    <t xml:space="preserve">JAMIE JONES</t>
  </si>
  <si>
    <t xml:space="preserve">875520372</t>
  </si>
  <si>
    <t xml:space="preserve">6/12/2026</t>
  </si>
  <si>
    <t xml:space="preserve">Progressive|875520372</t>
  </si>
  <si>
    <t xml:space="preserve">YUDMILA CADENAS</t>
  </si>
  <si>
    <t xml:space="preserve">875557253</t>
  </si>
  <si>
    <t xml:space="preserve">6/13/2026</t>
  </si>
  <si>
    <t xml:space="preserve">Progressive|875557253</t>
  </si>
  <si>
    <t xml:space="preserve">JEAN H. GUSTAVE</t>
  </si>
  <si>
    <t xml:space="preserve">UAO 694805</t>
  </si>
  <si>
    <t xml:space="preserve">United Auto|UAO694805</t>
  </si>
  <si>
    <t xml:space="preserve">YOANNY ALONSO M.</t>
  </si>
  <si>
    <t xml:space="preserve">875569393</t>
  </si>
  <si>
    <t xml:space="preserve">Progressive|875569393</t>
  </si>
  <si>
    <t xml:space="preserve">YADIER CORDERO G.</t>
  </si>
  <si>
    <t xml:space="preserve">UAO 695126</t>
  </si>
  <si>
    <t xml:space="preserve">6/15/2026</t>
  </si>
  <si>
    <t xml:space="preserve">United Auto|UAO695126</t>
  </si>
  <si>
    <t xml:space="preserve">STEPHANIE VAZQUEZ</t>
  </si>
  <si>
    <t xml:space="preserve">UAO 695998</t>
  </si>
  <si>
    <t xml:space="preserve">6/19/2026</t>
  </si>
  <si>
    <t xml:space="preserve">United Auto|UAO695998</t>
  </si>
  <si>
    <t xml:space="preserve">TAURUS L. PRESSLEY</t>
  </si>
  <si>
    <t xml:space="preserve">10270293001</t>
  </si>
  <si>
    <t xml:space="preserve">6/20/2026</t>
  </si>
  <si>
    <t xml:space="preserve">Infinity|10270293001</t>
  </si>
  <si>
    <t xml:space="preserve">ANTHONY PATTERSON</t>
  </si>
  <si>
    <t xml:space="preserve">875889820</t>
  </si>
  <si>
    <t xml:space="preserve">2 transactions netted: Credit Endorsement -86.00; New Business 1,760.00</t>
  </si>
  <si>
    <t xml:space="preserve">Progressive|875889820</t>
  </si>
  <si>
    <t xml:space="preserve">FELIPE GONZALEZ</t>
  </si>
  <si>
    <t xml:space="preserve">10270429601</t>
  </si>
  <si>
    <t xml:space="preserve">6/23/2026</t>
  </si>
  <si>
    <t xml:space="preserve">Infinity|10270429601</t>
  </si>
  <si>
    <t xml:space="preserve">CHRISTINA COSME</t>
  </si>
  <si>
    <t xml:space="preserve">876013327</t>
  </si>
  <si>
    <t xml:space="preserve">Progressive|876013327</t>
  </si>
  <si>
    <t xml:space="preserve">CARLOS TABOADA</t>
  </si>
  <si>
    <t xml:space="preserve">876150583</t>
  </si>
  <si>
    <t xml:space="preserve">6/26/2026</t>
  </si>
  <si>
    <t xml:space="preserve">Progressive|876150583</t>
  </si>
  <si>
    <t xml:space="preserve">MICHAEL D. HOWARD</t>
  </si>
  <si>
    <t xml:space="preserve">UAO 697725</t>
  </si>
  <si>
    <t xml:space="preserve">6/27/2026</t>
  </si>
  <si>
    <t xml:space="preserve">United Auto|UAO697725</t>
  </si>
  <si>
    <t xml:space="preserve">BRIANNA IRISH</t>
  </si>
  <si>
    <t xml:space="preserve">876186100</t>
  </si>
  <si>
    <t xml:space="preserve">Progressive|876186100</t>
  </si>
  <si>
    <t xml:space="preserve">NEW BUSINESS SUBTOTAL</t>
  </si>
  <si>
    <t xml:space="preserve">RENEWALS</t>
  </si>
  <si>
    <t xml:space="preserve">AMARILLYS GONZALEZ</t>
  </si>
  <si>
    <t xml:space="preserve">Renewed</t>
  </si>
  <si>
    <t xml:space="preserve">Renewal</t>
  </si>
  <si>
    <t xml:space="preserve">970306264</t>
  </si>
  <si>
    <t xml:space="preserve">Policy not found on the June 2026 statement - commission likely paid in a different statement period.</t>
  </si>
  <si>
    <t xml:space="preserve">Progressive|970306264</t>
  </si>
  <si>
    <t xml:space="preserve">BRUDYS GARCIA</t>
  </si>
  <si>
    <t xml:space="preserve">990100610</t>
  </si>
  <si>
    <t xml:space="preserve">Progressive|990100610</t>
  </si>
  <si>
    <t xml:space="preserve">YOSVANY LARRALDE</t>
  </si>
  <si>
    <t xml:space="preserve">Boat</t>
  </si>
  <si>
    <t xml:space="preserve">982064065</t>
  </si>
  <si>
    <t xml:space="preserve">6/3/2026</t>
  </si>
  <si>
    <t xml:space="preserve">Progressive|982064065</t>
  </si>
  <si>
    <t xml:space="preserve">ANA G CASTANO</t>
  </si>
  <si>
    <t xml:space="preserve">866496112</t>
  </si>
  <si>
    <t xml:space="preserve">Progressive|866496112</t>
  </si>
  <si>
    <t xml:space="preserve">MANUEL MARTINEZ</t>
  </si>
  <si>
    <t xml:space="preserve">990228513</t>
  </si>
  <si>
    <t xml:space="preserve">Progressive|990228513</t>
  </si>
  <si>
    <t xml:space="preserve">NIEVES ABREU</t>
  </si>
  <si>
    <t xml:space="preserve">866656050</t>
  </si>
  <si>
    <t xml:space="preserve">Progressive|866656050</t>
  </si>
  <si>
    <t xml:space="preserve">IBET COLLADO</t>
  </si>
  <si>
    <t xml:space="preserve">982208807</t>
  </si>
  <si>
    <t xml:space="preserve">Progressive|982208807</t>
  </si>
  <si>
    <t xml:space="preserve">ALEJANDRO COLLADO</t>
  </si>
  <si>
    <t xml:space="preserve">48745204</t>
  </si>
  <si>
    <t xml:space="preserve">6/7/2026</t>
  </si>
  <si>
    <t xml:space="preserve">2 transactions netted: Credit Endorsement -600.23; Renewal 1,956.00</t>
  </si>
  <si>
    <t xml:space="preserve">Progressive|48745204</t>
  </si>
  <si>
    <t xml:space="preserve">MANUELA GOMEZ OROZCO</t>
  </si>
  <si>
    <t xml:space="preserve">866615155</t>
  </si>
  <si>
    <t xml:space="preserve">Progressive|866615155</t>
  </si>
  <si>
    <t xml:space="preserve">REYSEL CASTILLO</t>
  </si>
  <si>
    <t xml:space="preserve">970570633</t>
  </si>
  <si>
    <t xml:space="preserve">6/9/2026</t>
  </si>
  <si>
    <t xml:space="preserve">Progressive|970570633</t>
  </si>
  <si>
    <t xml:space="preserve">ERIC CRUZ</t>
  </si>
  <si>
    <t xml:space="preserve">998651589</t>
  </si>
  <si>
    <t xml:space="preserve">6/10/2026</t>
  </si>
  <si>
    <t xml:space="preserve">Progressive|998651589</t>
  </si>
  <si>
    <t xml:space="preserve">JORGE A AGUIRRE MARIN</t>
  </si>
  <si>
    <t xml:space="preserve">944684751</t>
  </si>
  <si>
    <t xml:space="preserve">6/11/2025</t>
  </si>
  <si>
    <t xml:space="preserve">Progressive|944684751</t>
  </si>
  <si>
    <t xml:space="preserve">NATHAN R WALTERS</t>
  </si>
  <si>
    <t xml:space="preserve">990565433</t>
  </si>
  <si>
    <t xml:space="preserve">Progressive|990565433</t>
  </si>
  <si>
    <t xml:space="preserve">GUSTAVO F ALFONSO</t>
  </si>
  <si>
    <t xml:space="preserve">975650843</t>
  </si>
  <si>
    <t xml:space="preserve">Progressive|975650843</t>
  </si>
  <si>
    <t xml:space="preserve">CARMELO QUINTO</t>
  </si>
  <si>
    <t xml:space="preserve">970707982</t>
  </si>
  <si>
    <t xml:space="preserve">6/14/2026</t>
  </si>
  <si>
    <t xml:space="preserve">Progressive|970707982</t>
  </si>
  <si>
    <t xml:space="preserve">ERNESTO TORRES ARTOLA</t>
  </si>
  <si>
    <t xml:space="preserve">866980392</t>
  </si>
  <si>
    <t xml:space="preserve">Progressive|866980392</t>
  </si>
  <si>
    <t xml:space="preserve">NOEMI SANTANA GUERRA</t>
  </si>
  <si>
    <t xml:space="preserve">867024300</t>
  </si>
  <si>
    <t xml:space="preserve">6/16/2026</t>
  </si>
  <si>
    <t xml:space="preserve">Progressive|867024300</t>
  </si>
  <si>
    <t xml:space="preserve">ALEJANDRO RUIZ ABELLA</t>
  </si>
  <si>
    <t xml:space="preserve">998666923</t>
  </si>
  <si>
    <t xml:space="preserve">Progressive|998666923</t>
  </si>
  <si>
    <t xml:space="preserve">CRISTIAN BARROSO</t>
  </si>
  <si>
    <t xml:space="preserve">970048369</t>
  </si>
  <si>
    <t xml:space="preserve">6/18/2026</t>
  </si>
  <si>
    <t xml:space="preserve">Progressive|970048369</t>
  </si>
  <si>
    <t xml:space="preserve">JEAN R LAMOTHE</t>
  </si>
  <si>
    <t xml:space="preserve">867210259</t>
  </si>
  <si>
    <t xml:space="preserve">Progressive|867210259</t>
  </si>
  <si>
    <t xml:space="preserve">YALCIN ACIKDENIZ</t>
  </si>
  <si>
    <t xml:space="preserve">Motorcycle/ATV</t>
  </si>
  <si>
    <t xml:space="preserve">982895397</t>
  </si>
  <si>
    <t xml:space="preserve">6/21/2026</t>
  </si>
  <si>
    <t xml:space="preserve">Progressive|982895397</t>
  </si>
  <si>
    <t xml:space="preserve">JUAN N PEREZ</t>
  </si>
  <si>
    <t xml:space="preserve">999181480</t>
  </si>
  <si>
    <t xml:space="preserve">6/21/2025</t>
  </si>
  <si>
    <t xml:space="preserve">Progressive|999181480</t>
  </si>
  <si>
    <t xml:space="preserve">YUNISLEK RODRIGUEZ</t>
  </si>
  <si>
    <t xml:space="preserve">964557631</t>
  </si>
  <si>
    <t xml:space="preserve">6/28/2026</t>
  </si>
  <si>
    <t xml:space="preserve">Progressive|964557631</t>
  </si>
  <si>
    <t xml:space="preserve">ERNESTO DELGADO PEREZ</t>
  </si>
  <si>
    <t xml:space="preserve">983213729</t>
  </si>
  <si>
    <t xml:space="preserve">Progressive|983213729</t>
  </si>
  <si>
    <t xml:space="preserve">Motorhome</t>
  </si>
  <si>
    <t xml:space="preserve">939532645</t>
  </si>
  <si>
    <t xml:space="preserve">Progressive|939532645</t>
  </si>
  <si>
    <t xml:space="preserve">ARTURO ALVAREZ</t>
  </si>
  <si>
    <t xml:space="preserve">964440209</t>
  </si>
  <si>
    <t xml:space="preserve">6/30/2026</t>
  </si>
  <si>
    <t xml:space="preserve">Progressive|964440209</t>
  </si>
  <si>
    <t xml:space="preserve">SERGIO LOPEZ</t>
  </si>
  <si>
    <t xml:space="preserve">971187635</t>
  </si>
  <si>
    <t xml:space="preserve">Progressive|971187635</t>
  </si>
  <si>
    <t xml:space="preserve">JAVIER FORERO</t>
  </si>
  <si>
    <t xml:space="preserve">Ocean Harbor</t>
  </si>
  <si>
    <t xml:space="preserve">P020082297007</t>
  </si>
  <si>
    <t xml:space="preserve">Ocean Harbor commission statement was not included in the files provided - commission cannot be calculated.</t>
  </si>
  <si>
    <t xml:space="preserve">Ocean Harbor|P020082297007</t>
  </si>
  <si>
    <t xml:space="preserve">YUSDELY JUNCO</t>
  </si>
  <si>
    <t xml:space="preserve">P020082739007</t>
  </si>
  <si>
    <t xml:space="preserve">Ocean Harbor|P020082739007</t>
  </si>
  <si>
    <t xml:space="preserve">SANDRA ZAMBRANA</t>
  </si>
  <si>
    <t xml:space="preserve">UAD 605735805</t>
  </si>
  <si>
    <t xml:space="preserve">United Auto|UAD605735805</t>
  </si>
  <si>
    <t xml:space="preserve">TAMEKA GREENE</t>
  </si>
  <si>
    <t xml:space="preserve">UAO 44288703</t>
  </si>
  <si>
    <t xml:space="preserve">United Auto|UAO44288703</t>
  </si>
  <si>
    <t xml:space="preserve">HECTOR LUIS RODRIGUEZ RAMOS</t>
  </si>
  <si>
    <t xml:space="preserve">UAE 20965001</t>
  </si>
  <si>
    <t xml:space="preserve">United Auto|UAE20965001</t>
  </si>
  <si>
    <t xml:space="preserve">YAINELYS DIAZ SALAZAR</t>
  </si>
  <si>
    <t xml:space="preserve">UAO 653831</t>
  </si>
  <si>
    <t xml:space="preserve">12/19/2025</t>
  </si>
  <si>
    <t xml:space="preserve">United Auto|UAO653831</t>
  </si>
  <si>
    <t xml:space="preserve">CHRISTIAN O. CARBOT</t>
  </si>
  <si>
    <t xml:space="preserve">UAO 653867</t>
  </si>
  <si>
    <t xml:space="preserve">United Auto|UAO653867</t>
  </si>
  <si>
    <t xml:space="preserve">EDUARDO GOMES</t>
  </si>
  <si>
    <t xml:space="preserve">National General</t>
  </si>
  <si>
    <t xml:space="preserve">2023332936 - 04</t>
  </si>
  <si>
    <t xml:space="preserve">National General commission statement was not included in the files provided - commission cannot be calculated.</t>
  </si>
  <si>
    <t xml:space="preserve">National General|202333293604</t>
  </si>
  <si>
    <t xml:space="preserve">ARMANDO CARALOS</t>
  </si>
  <si>
    <t xml:space="preserve">2032597919</t>
  </si>
  <si>
    <t xml:space="preserve">12/9/2025</t>
  </si>
  <si>
    <t xml:space="preserve">National General|2032597919</t>
  </si>
  <si>
    <t xml:space="preserve">EIGLYS M HERNANDEZ</t>
  </si>
  <si>
    <t xml:space="preserve">2023520770 - 04</t>
  </si>
  <si>
    <t xml:space="preserve">National General|202352077004</t>
  </si>
  <si>
    <t xml:space="preserve">JEFFREY B. PETIT-HOMME</t>
  </si>
  <si>
    <t xml:space="preserve">AmWins</t>
  </si>
  <si>
    <t xml:space="preserve">FFL01067788</t>
  </si>
  <si>
    <t xml:space="preserve">6/17/2026</t>
  </si>
  <si>
    <t xml:space="preserve">Amwins Specialty Auto Commission Stmt 06/2026</t>
  </si>
  <si>
    <t xml:space="preserve">AmWins|FFL01067788</t>
  </si>
  <si>
    <t xml:space="preserve">ANGELY GEJO</t>
  </si>
  <si>
    <t xml:space="preserve">FFL01008512</t>
  </si>
  <si>
    <t xml:space="preserve">6/29/2026</t>
  </si>
  <si>
    <t xml:space="preserve">AmWins|FFL01008512</t>
  </si>
  <si>
    <t xml:space="preserve">LUIS QUINONES SANCHEZ</t>
  </si>
  <si>
    <t xml:space="preserve">FFL01033783</t>
  </si>
  <si>
    <t xml:space="preserve">AmWins|FFL01033783</t>
  </si>
  <si>
    <t xml:space="preserve">LEVY DIAZ TORRES (no business name yet)</t>
  </si>
  <si>
    <t xml:space="preserve">Commercial Auto</t>
  </si>
  <si>
    <t xml:space="preserve">50028915301</t>
  </si>
  <si>
    <t xml:space="preserve">12/1/2025</t>
  </si>
  <si>
    <t xml:space="preserve">12-month policy effective 12/1/2025; no June 2026 commission activity on this statement.</t>
  </si>
  <si>
    <t xml:space="preserve">Infinity|50028915301</t>
  </si>
  <si>
    <t xml:space="preserve">ELIZABETH MIRABAL HERNANDEZ (YSC LUXE BEAUTY)</t>
  </si>
  <si>
    <t xml:space="preserve">50029076701</t>
  </si>
  <si>
    <t xml:space="preserve">12/6/2025</t>
  </si>
  <si>
    <t xml:space="preserve">12-month policy effective 12/6/2025; no June 2026 commission activity on this statement.</t>
  </si>
  <si>
    <t xml:space="preserve">Infinity|50029076701</t>
  </si>
  <si>
    <t xml:space="preserve">ANA MARIA ACOSTA</t>
  </si>
  <si>
    <t xml:space="preserve">10210540801</t>
  </si>
  <si>
    <t xml:space="preserve">12/7/2025</t>
  </si>
  <si>
    <t xml:space="preserve">12-month policy effective 12/7/2025; no June 2026 commission activity on this statement.</t>
  </si>
  <si>
    <t xml:space="preserve">Infinity|10210540801</t>
  </si>
  <si>
    <t xml:space="preserve">MANUEL VERA</t>
  </si>
  <si>
    <t xml:space="preserve">10074082701</t>
  </si>
  <si>
    <t xml:space="preserve">Infinity|10074082701</t>
  </si>
  <si>
    <t xml:space="preserve">JAMES JOHN CIULLO</t>
  </si>
  <si>
    <t xml:space="preserve">10212418501</t>
  </si>
  <si>
    <t xml:space="preserve">12/23/2025</t>
  </si>
  <si>
    <t xml:space="preserve">12-month policy effective 12/23/2025; no June 2026 commission activity on this statement.</t>
  </si>
  <si>
    <t xml:space="preserve">Infinity|10212418501</t>
  </si>
  <si>
    <t xml:space="preserve">RENEWALS SUBTOTAL</t>
  </si>
  <si>
    <t xml:space="preserve">GRAND TOTAL - DORAL BINDER BOOK</t>
  </si>
  <si>
    <t xml:space="preserve">Match Key</t>
  </si>
  <si>
    <t xml:space="preserve">Commission Statement</t>
  </si>
  <si>
    <t xml:space="preserve">Statement Policy #</t>
  </si>
  <si>
    <t xml:space="preserve">Insured Name (per statement)</t>
  </si>
  <si>
    <t xml:space="preserve">Transaction Type</t>
  </si>
  <si>
    <t xml:space="preserve">Transaction Date</t>
  </si>
  <si>
    <t xml:space="preserve">Written / Comm Premium</t>
  </si>
  <si>
    <t xml:space="preserve">Commissionable Basis</t>
  </si>
  <si>
    <t xml:space="preserve">Commission (Basis x Rate)</t>
  </si>
  <si>
    <t xml:space="preserve">In Doral Binder Book?</t>
  </si>
  <si>
    <t xml:space="preserve">Binder Customer Name</t>
  </si>
  <si>
    <t xml:space="preserve">COLLADO A.</t>
  </si>
  <si>
    <t xml:space="preserve">Credit Endorsement</t>
  </si>
  <si>
    <t xml:space="preserve">06/10/2026</t>
  </si>
  <si>
    <t xml:space="preserve">YES</t>
  </si>
  <si>
    <t xml:space="preserve">06/07/2026</t>
  </si>
  <si>
    <t xml:space="preserve">GOMEZ OROZCO M.</t>
  </si>
  <si>
    <t xml:space="preserve">06/08/2026</t>
  </si>
  <si>
    <t xml:space="preserve">ABREU N.</t>
  </si>
  <si>
    <t xml:space="preserve">06/06/2026</t>
  </si>
  <si>
    <t xml:space="preserve">TORRES ARTOL E.</t>
  </si>
  <si>
    <t xml:space="preserve">06/15/2026</t>
  </si>
  <si>
    <t xml:space="preserve">SANTANA GUER N.</t>
  </si>
  <si>
    <t xml:space="preserve">06/16/2026</t>
  </si>
  <si>
    <t xml:space="preserve">LAMOTHE J.</t>
  </si>
  <si>
    <t xml:space="preserve">06/20/2026</t>
  </si>
  <si>
    <t xml:space="preserve">QUIROZ G.</t>
  </si>
  <si>
    <t xml:space="preserve">RAMIREZ J.</t>
  </si>
  <si>
    <t xml:space="preserve">JONES J.</t>
  </si>
  <si>
    <t xml:space="preserve">06/12/2026</t>
  </si>
  <si>
    <t xml:space="preserve">CADENAS Y.</t>
  </si>
  <si>
    <t xml:space="preserve">06/13/2026</t>
  </si>
  <si>
    <t xml:space="preserve">ALONSO MARTI Y.</t>
  </si>
  <si>
    <t xml:space="preserve">PATTERSON A.</t>
  </si>
  <si>
    <t xml:space="preserve">COSME C.</t>
  </si>
  <si>
    <t xml:space="preserve">06/23/2026</t>
  </si>
  <si>
    <t xml:space="preserve">TABOADA C.</t>
  </si>
  <si>
    <t xml:space="preserve">06/26/2026</t>
  </si>
  <si>
    <t xml:space="preserve">IRISH B.</t>
  </si>
  <si>
    <t xml:space="preserve">06/28/2026</t>
  </si>
  <si>
    <t xml:space="preserve">AGUIRRE MARI J.</t>
  </si>
  <si>
    <t xml:space="preserve">06/11/2026</t>
  </si>
  <si>
    <t xml:space="preserve">ALVAREZ A.</t>
  </si>
  <si>
    <t xml:space="preserve">06/30/2026</t>
  </si>
  <si>
    <t xml:space="preserve">RODRIGUEZ Y.</t>
  </si>
  <si>
    <t xml:space="preserve">BARROSO C.</t>
  </si>
  <si>
    <t xml:space="preserve">06/18/2026</t>
  </si>
  <si>
    <t xml:space="preserve">QUINTO RIBON C.</t>
  </si>
  <si>
    <t xml:space="preserve">06/14/2026</t>
  </si>
  <si>
    <t xml:space="preserve">LOPEZ S.</t>
  </si>
  <si>
    <t xml:space="preserve">ALFONSO G.</t>
  </si>
  <si>
    <t xml:space="preserve">COLLADO I.</t>
  </si>
  <si>
    <t xml:space="preserve">ACIKDENIZ Y.</t>
  </si>
  <si>
    <t xml:space="preserve">06/21/2026</t>
  </si>
  <si>
    <t xml:space="preserve">DELGADO PERE E.</t>
  </si>
  <si>
    <t xml:space="preserve">WALTERS N.</t>
  </si>
  <si>
    <t xml:space="preserve">CRUZ E.</t>
  </si>
  <si>
    <t xml:space="preserve">RUIZ ABELLA A.</t>
  </si>
  <si>
    <t xml:space="preserve">PEREZ J.</t>
  </si>
  <si>
    <t xml:space="preserve">Progressive|01209267</t>
  </si>
  <si>
    <t xml:space="preserve">01209267</t>
  </si>
  <si>
    <t xml:space="preserve">EXPERT REMO  .</t>
  </si>
  <si>
    <t xml:space="preserve">Endorsement</t>
  </si>
  <si>
    <t xml:space="preserve">No</t>
  </si>
  <si>
    <t xml:space="preserve">Progressive|862046493</t>
  </si>
  <si>
    <t xml:space="preserve">862046493</t>
  </si>
  <si>
    <t xml:space="preserve">BERMUDEZ V.</t>
  </si>
  <si>
    <t xml:space="preserve">Progressive|862085078</t>
  </si>
  <si>
    <t xml:space="preserve">862085078</t>
  </si>
  <si>
    <t xml:space="preserve">MOLINA LOZAN I.</t>
  </si>
  <si>
    <t xml:space="preserve">Progressive|864173304</t>
  </si>
  <si>
    <t xml:space="preserve">864173304</t>
  </si>
  <si>
    <t xml:space="preserve">ATIAS O.</t>
  </si>
  <si>
    <t xml:space="preserve">Progressive|866455034</t>
  </si>
  <si>
    <t xml:space="preserve">866455034</t>
  </si>
  <si>
    <t xml:space="preserve">BRAVO FLORES A.</t>
  </si>
  <si>
    <t xml:space="preserve">Progressive|866544932</t>
  </si>
  <si>
    <t xml:space="preserve">866544932</t>
  </si>
  <si>
    <t xml:space="preserve">ZALDIVAR V.</t>
  </si>
  <si>
    <t xml:space="preserve">Progressive|866921710</t>
  </si>
  <si>
    <t xml:space="preserve">866921710</t>
  </si>
  <si>
    <t xml:space="preserve">PEREZ H.</t>
  </si>
  <si>
    <t xml:space="preserve">Progressive|866944927</t>
  </si>
  <si>
    <t xml:space="preserve">866944927</t>
  </si>
  <si>
    <t xml:space="preserve">DA SILVA D.</t>
  </si>
  <si>
    <t xml:space="preserve">Progressive|866989409</t>
  </si>
  <si>
    <t xml:space="preserve">866989409</t>
  </si>
  <si>
    <t xml:space="preserve">ACOBO M.</t>
  </si>
  <si>
    <t xml:space="preserve">Progressive|867082146</t>
  </si>
  <si>
    <t xml:space="preserve">867082146</t>
  </si>
  <si>
    <t xml:space="preserve">RIVERA M.</t>
  </si>
  <si>
    <t xml:space="preserve">Progressive|867301131</t>
  </si>
  <si>
    <t xml:space="preserve">867301131</t>
  </si>
  <si>
    <t xml:space="preserve">RICHARDS L.</t>
  </si>
  <si>
    <t xml:space="preserve">Progressive|867412033</t>
  </si>
  <si>
    <t xml:space="preserve">867412033</t>
  </si>
  <si>
    <t xml:space="preserve">GREEN K.</t>
  </si>
  <si>
    <t xml:space="preserve">06/27/2026</t>
  </si>
  <si>
    <t xml:space="preserve">Progressive|867419591</t>
  </si>
  <si>
    <t xml:space="preserve">867419591</t>
  </si>
  <si>
    <t xml:space="preserve">Lorenzo Y.</t>
  </si>
  <si>
    <t xml:space="preserve">Cancel Pro Rate</t>
  </si>
  <si>
    <t xml:space="preserve">Progressive|867570775</t>
  </si>
  <si>
    <t xml:space="preserve">867570775</t>
  </si>
  <si>
    <t xml:space="preserve">TAMAYO LA O G.</t>
  </si>
  <si>
    <t xml:space="preserve">Progressive|867886789</t>
  </si>
  <si>
    <t xml:space="preserve">867886789</t>
  </si>
  <si>
    <t xml:space="preserve">Denman M.</t>
  </si>
  <si>
    <t xml:space="preserve">06/29/2026</t>
  </si>
  <si>
    <t xml:space="preserve">Progressive|867943703</t>
  </si>
  <si>
    <t xml:space="preserve">867943703</t>
  </si>
  <si>
    <t xml:space="preserve">FAYAS RODRIG G.</t>
  </si>
  <si>
    <t xml:space="preserve">07/08/2026</t>
  </si>
  <si>
    <t xml:space="preserve">Progressive|868048995</t>
  </si>
  <si>
    <t xml:space="preserve">868048995</t>
  </si>
  <si>
    <t xml:space="preserve">DIBU A.</t>
  </si>
  <si>
    <t xml:space="preserve">07/10/2026</t>
  </si>
  <si>
    <t xml:space="preserve">Progressive|868160525</t>
  </si>
  <si>
    <t xml:space="preserve">868160525</t>
  </si>
  <si>
    <t xml:space="preserve">Weiss E.</t>
  </si>
  <si>
    <t xml:space="preserve">Progressive|868442629</t>
  </si>
  <si>
    <t xml:space="preserve">868442629</t>
  </si>
  <si>
    <t xml:space="preserve">Regalado A.</t>
  </si>
  <si>
    <t xml:space="preserve">Progressive|868553556</t>
  </si>
  <si>
    <t xml:space="preserve">868553556</t>
  </si>
  <si>
    <t xml:space="preserve">CAIRONE R.</t>
  </si>
  <si>
    <t xml:space="preserve">Progressive|869341373</t>
  </si>
  <si>
    <t xml:space="preserve">869341373</t>
  </si>
  <si>
    <t xml:space="preserve">FERNANDEZ K.</t>
  </si>
  <si>
    <t xml:space="preserve">06/05/2026</t>
  </si>
  <si>
    <t xml:space="preserve">Progressive|869683521</t>
  </si>
  <si>
    <t xml:space="preserve">869683521</t>
  </si>
  <si>
    <t xml:space="preserve">DiPietro N.</t>
  </si>
  <si>
    <t xml:space="preserve">Progressive|869745230</t>
  </si>
  <si>
    <t xml:space="preserve">869745230</t>
  </si>
  <si>
    <t xml:space="preserve">FLORES JARAM I.</t>
  </si>
  <si>
    <t xml:space="preserve">Progressive|869891929</t>
  </si>
  <si>
    <t xml:space="preserve">869891929</t>
  </si>
  <si>
    <t xml:space="preserve">POLANCO E.</t>
  </si>
  <si>
    <t xml:space="preserve">Progressive|870491158</t>
  </si>
  <si>
    <t xml:space="preserve">870491158</t>
  </si>
  <si>
    <t xml:space="preserve">SMART PHONE  .</t>
  </si>
  <si>
    <t xml:space="preserve">03/02/2026</t>
  </si>
  <si>
    <t xml:space="preserve">Progressive|871135598</t>
  </si>
  <si>
    <t xml:space="preserve">871135598</t>
  </si>
  <si>
    <t xml:space="preserve">SAFI C.</t>
  </si>
  <si>
    <t xml:space="preserve">06/09/2026</t>
  </si>
  <si>
    <t xml:space="preserve">Progressive|871466655</t>
  </si>
  <si>
    <t xml:space="preserve">871466655</t>
  </si>
  <si>
    <t xml:space="preserve">ORTUNO J.</t>
  </si>
  <si>
    <t xml:space="preserve">Progressive|871490991</t>
  </si>
  <si>
    <t xml:space="preserve">871490991</t>
  </si>
  <si>
    <t xml:space="preserve">BAHAMONDE C.</t>
  </si>
  <si>
    <t xml:space="preserve">06/22/2026</t>
  </si>
  <si>
    <t xml:space="preserve">Progressive|871853308</t>
  </si>
  <si>
    <t xml:space="preserve">871853308</t>
  </si>
  <si>
    <t xml:space="preserve">Delli-Colli M.</t>
  </si>
  <si>
    <t xml:space="preserve">06/19/2026</t>
  </si>
  <si>
    <t xml:space="preserve">Reinstatement</t>
  </si>
  <si>
    <t xml:space="preserve">Progressive|872036378</t>
  </si>
  <si>
    <t xml:space="preserve">872036378</t>
  </si>
  <si>
    <t xml:space="preserve">GUERRA D.</t>
  </si>
  <si>
    <t xml:space="preserve">Progressive|872138800</t>
  </si>
  <si>
    <t xml:space="preserve">872138800</t>
  </si>
  <si>
    <t xml:space="preserve">Hossain A.</t>
  </si>
  <si>
    <t xml:space="preserve">Progressive|872333790</t>
  </si>
  <si>
    <t xml:space="preserve">872333790</t>
  </si>
  <si>
    <t xml:space="preserve">GUERRERO P.</t>
  </si>
  <si>
    <t xml:space="preserve">Progressive|872355153</t>
  </si>
  <si>
    <t xml:space="preserve">872355153</t>
  </si>
  <si>
    <t xml:space="preserve">CHAHINE B.</t>
  </si>
  <si>
    <t xml:space="preserve">05/07/2026</t>
  </si>
  <si>
    <t xml:space="preserve">05/24/2026</t>
  </si>
  <si>
    <t xml:space="preserve">04/20/2026</t>
  </si>
  <si>
    <t xml:space="preserve">Chahine B.</t>
  </si>
  <si>
    <t xml:space="preserve">07/03/2026</t>
  </si>
  <si>
    <t xml:space="preserve">Progressive|872526456</t>
  </si>
  <si>
    <t xml:space="preserve">872526456</t>
  </si>
  <si>
    <t xml:space="preserve">MICO IZQUIER J.</t>
  </si>
  <si>
    <t xml:space="preserve">07/01/2026</t>
  </si>
  <si>
    <t xml:space="preserve">Progressive|872587763</t>
  </si>
  <si>
    <t xml:space="preserve">872587763</t>
  </si>
  <si>
    <t xml:space="preserve">ROHR F.</t>
  </si>
  <si>
    <t xml:space="preserve">Progressive|872593443</t>
  </si>
  <si>
    <t xml:space="preserve">872593443</t>
  </si>
  <si>
    <t xml:space="preserve">Sciortino L.</t>
  </si>
  <si>
    <t xml:space="preserve">Progressive|872819925</t>
  </si>
  <si>
    <t xml:space="preserve">872819925</t>
  </si>
  <si>
    <t xml:space="preserve">OLUPONA B.</t>
  </si>
  <si>
    <t xml:space="preserve">06/24/2026</t>
  </si>
  <si>
    <t xml:space="preserve">Progressive|872841443</t>
  </si>
  <si>
    <t xml:space="preserve">872841443</t>
  </si>
  <si>
    <t xml:space="preserve">GIL BARTUREN M.</t>
  </si>
  <si>
    <t xml:space="preserve">04/17/2026</t>
  </si>
  <si>
    <t xml:space="preserve">06/01/2026</t>
  </si>
  <si>
    <t xml:space="preserve">Progressive|872916061</t>
  </si>
  <si>
    <t xml:space="preserve">872916061</t>
  </si>
  <si>
    <t xml:space="preserve">RODRIGUEZ L.</t>
  </si>
  <si>
    <t xml:space="preserve">06/04/2026</t>
  </si>
  <si>
    <t xml:space="preserve">Progressive|873075106</t>
  </si>
  <si>
    <t xml:space="preserve">873075106</t>
  </si>
  <si>
    <t xml:space="preserve">STUDSTILL J.</t>
  </si>
  <si>
    <t xml:space="preserve">Progressive|873197162</t>
  </si>
  <si>
    <t xml:space="preserve">873197162</t>
  </si>
  <si>
    <t xml:space="preserve">LAZAREK R.</t>
  </si>
  <si>
    <t xml:space="preserve">Progressive|873317751</t>
  </si>
  <si>
    <t xml:space="preserve">873317751</t>
  </si>
  <si>
    <t xml:space="preserve">MAMIKONYAN A.</t>
  </si>
  <si>
    <t xml:space="preserve">04/27/2026</t>
  </si>
  <si>
    <t xml:space="preserve">Progressive|873356418</t>
  </si>
  <si>
    <t xml:space="preserve">873356418</t>
  </si>
  <si>
    <t xml:space="preserve">SAMAD R.</t>
  </si>
  <si>
    <t xml:space="preserve">Progressive|873367580</t>
  </si>
  <si>
    <t xml:space="preserve">873367580</t>
  </si>
  <si>
    <t xml:space="preserve">RAZAFIKELY J.</t>
  </si>
  <si>
    <t xml:space="preserve">04/28/2026</t>
  </si>
  <si>
    <t xml:space="preserve">Progressive|873429938</t>
  </si>
  <si>
    <t xml:space="preserve">873429938</t>
  </si>
  <si>
    <t xml:space="preserve">SELMAN M.</t>
  </si>
  <si>
    <t xml:space="preserve">Progressive|873673607</t>
  </si>
  <si>
    <t xml:space="preserve">873673607</t>
  </si>
  <si>
    <t xml:space="preserve">BALLON C.</t>
  </si>
  <si>
    <t xml:space="preserve">Progressive|873674755</t>
  </si>
  <si>
    <t xml:space="preserve">873674755</t>
  </si>
  <si>
    <t xml:space="preserve">ESTEVEZ TAMA R.</t>
  </si>
  <si>
    <t xml:space="preserve">05/04/2026</t>
  </si>
  <si>
    <t xml:space="preserve">Progressive|873713914</t>
  </si>
  <si>
    <t xml:space="preserve">873713914</t>
  </si>
  <si>
    <t xml:space="preserve">VILUS J.</t>
  </si>
  <si>
    <t xml:space="preserve">05/05/2026</t>
  </si>
  <si>
    <t xml:space="preserve">Progressive|873879179</t>
  </si>
  <si>
    <t xml:space="preserve">873879179</t>
  </si>
  <si>
    <t xml:space="preserve">SIMMONDS P.</t>
  </si>
  <si>
    <t xml:space="preserve">Progressive|873930556</t>
  </si>
  <si>
    <t xml:space="preserve">873930556</t>
  </si>
  <si>
    <t xml:space="preserve">BALLESTEROS C.</t>
  </si>
  <si>
    <t xml:space="preserve">Progressive|874092322</t>
  </si>
  <si>
    <t xml:space="preserve">874092322</t>
  </si>
  <si>
    <t xml:space="preserve">SHORTY M.</t>
  </si>
  <si>
    <t xml:space="preserve">Progressive|874159421</t>
  </si>
  <si>
    <t xml:space="preserve">874159421</t>
  </si>
  <si>
    <t xml:space="preserve">PIEDISCALZI Z.</t>
  </si>
  <si>
    <t xml:space="preserve">Progressive|874281246</t>
  </si>
  <si>
    <t xml:space="preserve">874281246</t>
  </si>
  <si>
    <t xml:space="preserve">ALVES J.</t>
  </si>
  <si>
    <t xml:space="preserve">Progressive|874616317</t>
  </si>
  <si>
    <t xml:space="preserve">874616317</t>
  </si>
  <si>
    <t xml:space="preserve">DIAZ J.</t>
  </si>
  <si>
    <t xml:space="preserve">05/27/2026</t>
  </si>
  <si>
    <t xml:space="preserve">Progressive|874775238</t>
  </si>
  <si>
    <t xml:space="preserve">874775238</t>
  </si>
  <si>
    <t xml:space="preserve">Jacobs J.</t>
  </si>
  <si>
    <t xml:space="preserve">06/25/2026</t>
  </si>
  <si>
    <t xml:space="preserve">JACOBS J.</t>
  </si>
  <si>
    <t xml:space="preserve">05/28/2026</t>
  </si>
  <si>
    <t xml:space="preserve">Progressive|875244538</t>
  </si>
  <si>
    <t xml:space="preserve">875244538</t>
  </si>
  <si>
    <t xml:space="preserve">HEJEILE K.</t>
  </si>
  <si>
    <t xml:space="preserve">Progressive|875293232</t>
  </si>
  <si>
    <t xml:space="preserve">875293232</t>
  </si>
  <si>
    <t xml:space="preserve">GEDIGIAN E.</t>
  </si>
  <si>
    <t xml:space="preserve">Progressive|875457519</t>
  </si>
  <si>
    <t xml:space="preserve">875457519</t>
  </si>
  <si>
    <t xml:space="preserve">HETHERINGTON K.</t>
  </si>
  <si>
    <t xml:space="preserve">Progressive|875461556</t>
  </si>
  <si>
    <t xml:space="preserve">875461556</t>
  </si>
  <si>
    <t xml:space="preserve">LUXURY AUTO  .</t>
  </si>
  <si>
    <t xml:space="preserve">Progressive|875564058</t>
  </si>
  <si>
    <t xml:space="preserve">875564058</t>
  </si>
  <si>
    <t xml:space="preserve">DE NOTO D.</t>
  </si>
  <si>
    <t xml:space="preserve">Progressive|875582763</t>
  </si>
  <si>
    <t xml:space="preserve">875582763</t>
  </si>
  <si>
    <t xml:space="preserve">MULLA S.</t>
  </si>
  <si>
    <t xml:space="preserve">Mulla S.</t>
  </si>
  <si>
    <t xml:space="preserve">Progressive|875663244</t>
  </si>
  <si>
    <t xml:space="preserve">875663244</t>
  </si>
  <si>
    <t xml:space="preserve">06/17/2026</t>
  </si>
  <si>
    <t xml:space="preserve">Progressive|875882026</t>
  </si>
  <si>
    <t xml:space="preserve">875882026</t>
  </si>
  <si>
    <t xml:space="preserve">DENOTO C.</t>
  </si>
  <si>
    <t xml:space="preserve">Progressive|875883644</t>
  </si>
  <si>
    <t xml:space="preserve">875883644</t>
  </si>
  <si>
    <t xml:space="preserve">LATOUR J.</t>
  </si>
  <si>
    <t xml:space="preserve">Latour J.</t>
  </si>
  <si>
    <t xml:space="preserve">Progressive|875885204</t>
  </si>
  <si>
    <t xml:space="preserve">875885204</t>
  </si>
  <si>
    <t xml:space="preserve">PENA M.</t>
  </si>
  <si>
    <t xml:space="preserve">Progressive|875885651</t>
  </si>
  <si>
    <t xml:space="preserve">875885651</t>
  </si>
  <si>
    <t xml:space="preserve">VELADO I.</t>
  </si>
  <si>
    <t xml:space="preserve">Progressive|875937865</t>
  </si>
  <si>
    <t xml:space="preserve">875937865</t>
  </si>
  <si>
    <t xml:space="preserve">SANCHEZ B.</t>
  </si>
  <si>
    <t xml:space="preserve">Progressive|875959361</t>
  </si>
  <si>
    <t xml:space="preserve">875959361</t>
  </si>
  <si>
    <t xml:space="preserve">LEVY H.</t>
  </si>
  <si>
    <t xml:space="preserve">Progressive|875990791</t>
  </si>
  <si>
    <t xml:space="preserve">875990791</t>
  </si>
  <si>
    <t xml:space="preserve">JOGALEKAR A.</t>
  </si>
  <si>
    <t xml:space="preserve">Progressive|876093782</t>
  </si>
  <si>
    <t xml:space="preserve">876093782</t>
  </si>
  <si>
    <t xml:space="preserve">WALKER P.</t>
  </si>
  <si>
    <t xml:space="preserve">Progressive|876266070</t>
  </si>
  <si>
    <t xml:space="preserve">876266070</t>
  </si>
  <si>
    <t xml:space="preserve">GRANT J.</t>
  </si>
  <si>
    <t xml:space="preserve">07/02/2026</t>
  </si>
  <si>
    <t xml:space="preserve">Progressive|876286758</t>
  </si>
  <si>
    <t xml:space="preserve">876286758</t>
  </si>
  <si>
    <t xml:space="preserve">CHONG A.</t>
  </si>
  <si>
    <t xml:space="preserve">Progressive|876330803</t>
  </si>
  <si>
    <t xml:space="preserve">876330803</t>
  </si>
  <si>
    <t xml:space="preserve">BAILEY-WATSO T.</t>
  </si>
  <si>
    <t xml:space="preserve">Progressive|876344456</t>
  </si>
  <si>
    <t xml:space="preserve">876344456</t>
  </si>
  <si>
    <t xml:space="preserve">SURTAIN M.</t>
  </si>
  <si>
    <t xml:space="preserve">Progressive|876394907</t>
  </si>
  <si>
    <t xml:space="preserve">876394907</t>
  </si>
  <si>
    <t xml:space="preserve">TAYLOR M.</t>
  </si>
  <si>
    <t xml:space="preserve">Progressive|930764661</t>
  </si>
  <si>
    <t xml:space="preserve">930764661</t>
  </si>
  <si>
    <t xml:space="preserve">LEVEILLEE R.</t>
  </si>
  <si>
    <t xml:space="preserve">Progressive|930765132</t>
  </si>
  <si>
    <t xml:space="preserve">930765132</t>
  </si>
  <si>
    <t xml:space="preserve">Progressive|934715363</t>
  </si>
  <si>
    <t xml:space="preserve">934715363</t>
  </si>
  <si>
    <t xml:space="preserve">CHACON G.</t>
  </si>
  <si>
    <t xml:space="preserve">Progressive|939283178</t>
  </si>
  <si>
    <t xml:space="preserve">939283178</t>
  </si>
  <si>
    <t xml:space="preserve">RIVERA W.</t>
  </si>
  <si>
    <t xml:space="preserve">Progressive|944846183</t>
  </si>
  <si>
    <t xml:space="preserve">944846183</t>
  </si>
  <si>
    <t xml:space="preserve">REICES B.</t>
  </si>
  <si>
    <t xml:space="preserve">Progressive|950263145</t>
  </si>
  <si>
    <t xml:space="preserve">950263145</t>
  </si>
  <si>
    <t xml:space="preserve">MARRERO M.</t>
  </si>
  <si>
    <t xml:space="preserve">Progressive|950386550</t>
  </si>
  <si>
    <t xml:space="preserve">950386550</t>
  </si>
  <si>
    <t xml:space="preserve">VALIENTE M.</t>
  </si>
  <si>
    <t xml:space="preserve">Progressive|951679078</t>
  </si>
  <si>
    <t xml:space="preserve">951679078</t>
  </si>
  <si>
    <t xml:space="preserve">WALKER G.</t>
  </si>
  <si>
    <t xml:space="preserve">Progressive|953015730</t>
  </si>
  <si>
    <t xml:space="preserve">953015730</t>
  </si>
  <si>
    <t xml:space="preserve">BANOS R.</t>
  </si>
  <si>
    <t xml:space="preserve">Progressive|956797303</t>
  </si>
  <si>
    <t xml:space="preserve">956797303</t>
  </si>
  <si>
    <t xml:space="preserve">NOVOA CORREA L.</t>
  </si>
  <si>
    <t xml:space="preserve">03/19/2026</t>
  </si>
  <si>
    <t xml:space="preserve">Progressive|958992678</t>
  </si>
  <si>
    <t xml:space="preserve">958992678</t>
  </si>
  <si>
    <t xml:space="preserve">SOMAVILLA J.</t>
  </si>
  <si>
    <t xml:space="preserve">Progressive|964451320</t>
  </si>
  <si>
    <t xml:space="preserve">964451320</t>
  </si>
  <si>
    <t xml:space="preserve">BERMUDEZ C.</t>
  </si>
  <si>
    <t xml:space="preserve">Progressive|966926759</t>
  </si>
  <si>
    <t xml:space="preserve">966926759</t>
  </si>
  <si>
    <t xml:space="preserve">YU H.</t>
  </si>
  <si>
    <t xml:space="preserve">Progressive|967051439</t>
  </si>
  <si>
    <t xml:space="preserve">967051439</t>
  </si>
  <si>
    <t xml:space="preserve">ZAMORA J.</t>
  </si>
  <si>
    <t xml:space="preserve">Progressive|968946712</t>
  </si>
  <si>
    <t xml:space="preserve">968946712</t>
  </si>
  <si>
    <t xml:space="preserve">LOPEZ PINA S.</t>
  </si>
  <si>
    <t xml:space="preserve">Progressive|970671634</t>
  </si>
  <si>
    <t xml:space="preserve">970671634</t>
  </si>
  <si>
    <t xml:space="preserve">OCEANIC 1 C  .</t>
  </si>
  <si>
    <t xml:space="preserve">Progressive|977030091</t>
  </si>
  <si>
    <t xml:space="preserve">977030091</t>
  </si>
  <si>
    <t xml:space="preserve">PRADA Y.</t>
  </si>
  <si>
    <t xml:space="preserve">Progressive|978572988</t>
  </si>
  <si>
    <t xml:space="preserve">978572988</t>
  </si>
  <si>
    <t xml:space="preserve">OROPEZA A.</t>
  </si>
  <si>
    <t xml:space="preserve">Progressive|978935597</t>
  </si>
  <si>
    <t xml:space="preserve">978935597</t>
  </si>
  <si>
    <t xml:space="preserve">BENITEZ F.</t>
  </si>
  <si>
    <t xml:space="preserve">Progressive|979556114</t>
  </si>
  <si>
    <t xml:space="preserve">979556114</t>
  </si>
  <si>
    <t xml:space="preserve">ALL IN SPEC  .</t>
  </si>
  <si>
    <t xml:space="preserve">Progressive|983334721</t>
  </si>
  <si>
    <t xml:space="preserve">983334721</t>
  </si>
  <si>
    <t xml:space="preserve">PILLINER S.</t>
  </si>
  <si>
    <t xml:space="preserve">Progressive|985048083</t>
  </si>
  <si>
    <t xml:space="preserve">985048083</t>
  </si>
  <si>
    <t xml:space="preserve">Boodoosingh P.</t>
  </si>
  <si>
    <t xml:space="preserve">Progressive|990901393</t>
  </si>
  <si>
    <t xml:space="preserve">990901393</t>
  </si>
  <si>
    <t xml:space="preserve">DROR A.</t>
  </si>
  <si>
    <t xml:space="preserve">Progressive|990986490</t>
  </si>
  <si>
    <t xml:space="preserve">990986490</t>
  </si>
  <si>
    <t xml:space="preserve">LEVIN L.</t>
  </si>
  <si>
    <t xml:space="preserve">Progressive|991207523</t>
  </si>
  <si>
    <t xml:space="preserve">991207523</t>
  </si>
  <si>
    <t xml:space="preserve">AIDALA A.</t>
  </si>
  <si>
    <t xml:space="preserve">Progressive|991253124</t>
  </si>
  <si>
    <t xml:space="preserve">991253124</t>
  </si>
  <si>
    <t xml:space="preserve">CHACON PENA L.</t>
  </si>
  <si>
    <t xml:space="preserve">Progressive|992229463</t>
  </si>
  <si>
    <t xml:space="preserve">992229463</t>
  </si>
  <si>
    <t xml:space="preserve">COLLINS S.</t>
  </si>
  <si>
    <t xml:space="preserve">Progressive|993794329</t>
  </si>
  <si>
    <t xml:space="preserve">993794329</t>
  </si>
  <si>
    <t xml:space="preserve">YILDIRIM S.</t>
  </si>
  <si>
    <t xml:space="preserve">Progressive|999135935</t>
  </si>
  <si>
    <t xml:space="preserve">999135935</t>
  </si>
  <si>
    <t xml:space="preserve">RUBIANO ZORN O.</t>
  </si>
  <si>
    <t xml:space="preserve">Progressive|999289500</t>
  </si>
  <si>
    <t xml:space="preserve">999289500</t>
  </si>
  <si>
    <t xml:space="preserve">GORODKIN M.</t>
  </si>
  <si>
    <t xml:space="preserve">Progressive|999718516</t>
  </si>
  <si>
    <t xml:space="preserve">999718516</t>
  </si>
  <si>
    <t xml:space="preserve">MEDISUN MED  .</t>
  </si>
  <si>
    <t xml:space="preserve">Progressive|999745921</t>
  </si>
  <si>
    <t xml:space="preserve">999745921</t>
  </si>
  <si>
    <t xml:space="preserve">BLOMBERG E.</t>
  </si>
  <si>
    <t xml:space="preserve">VERA, MANUEL</t>
  </si>
  <si>
    <t xml:space="preserve">CASTILLO, MARLENE</t>
  </si>
  <si>
    <t xml:space="preserve">New</t>
  </si>
  <si>
    <t xml:space="preserve">JOHNSON, LIONEL</t>
  </si>
  <si>
    <t xml:space="preserve">PRESSLEY, TAURUS</t>
  </si>
  <si>
    <t xml:space="preserve">GONZALEZ, FELIPE</t>
  </si>
  <si>
    <t xml:space="preserve">Infinity|10027857401</t>
  </si>
  <si>
    <t xml:space="preserve">10027857401</t>
  </si>
  <si>
    <t xml:space="preserve">VALDES, VICTOR</t>
  </si>
  <si>
    <t xml:space="preserve">ENDORSE</t>
  </si>
  <si>
    <t xml:space="preserve">CnxFinal</t>
  </si>
  <si>
    <t xml:space="preserve">Infinity|10193915602</t>
  </si>
  <si>
    <t xml:space="preserve">10193915602</t>
  </si>
  <si>
    <t xml:space="preserve">TAS, RESUL</t>
  </si>
  <si>
    <t xml:space="preserve">Infinity|10213255201</t>
  </si>
  <si>
    <t xml:space="preserve">10213255201</t>
  </si>
  <si>
    <t xml:space="preserve">PEREZ ROY, JUAN</t>
  </si>
  <si>
    <t xml:space="preserve">05/23/2026</t>
  </si>
  <si>
    <t xml:space="preserve">Infinity|10239866201</t>
  </si>
  <si>
    <t xml:space="preserve">10239866201</t>
  </si>
  <si>
    <t xml:space="preserve">FRATER, SYLVESTER</t>
  </si>
  <si>
    <t xml:space="preserve">Infinity|10260538001</t>
  </si>
  <si>
    <t xml:space="preserve">10260538001</t>
  </si>
  <si>
    <t xml:space="preserve">RAI, DIVYANI</t>
  </si>
  <si>
    <t xml:space="preserve">Infinity|10260713001</t>
  </si>
  <si>
    <t xml:space="preserve">10260713001</t>
  </si>
  <si>
    <t xml:space="preserve">MENDOZA, JABIERQUIS</t>
  </si>
  <si>
    <t xml:space="preserve">06/03/2026</t>
  </si>
  <si>
    <t xml:space="preserve">Infinity|10269872401</t>
  </si>
  <si>
    <t xml:space="preserve">10269872401</t>
  </si>
  <si>
    <t xml:space="preserve">Douek, Hadass</t>
  </si>
  <si>
    <t xml:space="preserve">Infinity|10270681801</t>
  </si>
  <si>
    <t xml:space="preserve">10270681801</t>
  </si>
  <si>
    <t xml:space="preserve">Lopez, Felipe</t>
  </si>
  <si>
    <t xml:space="preserve">Infinity|10271025401</t>
  </si>
  <si>
    <t xml:space="preserve">10271025401</t>
  </si>
  <si>
    <t xml:space="preserve">Aquilar, Abel</t>
  </si>
  <si>
    <t xml:space="preserve">Infinity|50018945101</t>
  </si>
  <si>
    <t xml:space="preserve">50018945101</t>
  </si>
  <si>
    <t xml:space="preserve">Alvarez, Luis</t>
  </si>
  <si>
    <t xml:space="preserve">Infinity|50019720001</t>
  </si>
  <si>
    <t xml:space="preserve">50019720001</t>
  </si>
  <si>
    <t xml:space="preserve">Boodoosingh, Premchan</t>
  </si>
  <si>
    <t xml:space="preserve">Infinity|50025577501</t>
  </si>
  <si>
    <t xml:space="preserve">50025577501</t>
  </si>
  <si>
    <t xml:space="preserve">Goykhman, Leonid</t>
  </si>
  <si>
    <t xml:space="preserve">Infinity|50026396402</t>
  </si>
  <si>
    <t xml:space="preserve">50026396402</t>
  </si>
  <si>
    <t xml:space="preserve">RIVAS, JORGE</t>
  </si>
  <si>
    <t xml:space="preserve">Infinity|50030214102</t>
  </si>
  <si>
    <t xml:space="preserve">50030214102</t>
  </si>
  <si>
    <t xml:space="preserve">Barone, Richard</t>
  </si>
  <si>
    <t xml:space="preserve">Infinity|50030429301</t>
  </si>
  <si>
    <t xml:space="preserve">50030429301</t>
  </si>
  <si>
    <t xml:space="preserve">Almonte, Manuela</t>
  </si>
  <si>
    <t xml:space="preserve">GEJO ANGELY</t>
  </si>
  <si>
    <t xml:space="preserve">Commission</t>
  </si>
  <si>
    <t xml:space="preserve">QUINONES SANCHEZ LUIS</t>
  </si>
  <si>
    <t xml:space="preserve">PETIT-HOMME JEFFREY BO</t>
  </si>
  <si>
    <t xml:space="preserve">AmWins|FFL01014574</t>
  </si>
  <si>
    <t xml:space="preserve">FFL01014574</t>
  </si>
  <si>
    <t xml:space="preserve">O BRIEN CHLOE L</t>
  </si>
  <si>
    <t xml:space="preserve">03/01/2026</t>
  </si>
  <si>
    <t xml:space="preserve">AmWins|FFL01036461</t>
  </si>
  <si>
    <t xml:space="preserve">FFL01036461</t>
  </si>
  <si>
    <t xml:space="preserve">GRAHAM ANAIYA</t>
  </si>
  <si>
    <t xml:space="preserve">01/24/2026</t>
  </si>
  <si>
    <t xml:space="preserve">AmWins|FFL01060899</t>
  </si>
  <si>
    <t xml:space="preserve">FFL01060899</t>
  </si>
  <si>
    <t xml:space="preserve">JACUZZI NINA S</t>
  </si>
  <si>
    <t xml:space="preserve">01/23/2026</t>
  </si>
  <si>
    <t xml:space="preserve">07/23/2026</t>
  </si>
  <si>
    <t xml:space="preserve">AmWins|FFL01069762</t>
  </si>
  <si>
    <t xml:space="preserve">FFL01069762</t>
  </si>
  <si>
    <t xml:space="preserve">ABREU DARIO ANTONIO</t>
  </si>
  <si>
    <t xml:space="preserve">GEICO|6210330335454415679</t>
  </si>
  <si>
    <t xml:space="preserve">GEICO</t>
  </si>
  <si>
    <t xml:space="preserve">GEICO Commission Statement 06/2026</t>
  </si>
  <si>
    <t xml:space="preserve">6210330335-454415679</t>
  </si>
  <si>
    <t xml:space="preserve">DANGER MEDINA</t>
  </si>
  <si>
    <t xml:space="preserve">Renewal Year Commission</t>
  </si>
  <si>
    <t xml:space="preserve">05/09/2026</t>
  </si>
  <si>
    <t xml:space="preserve">04/16/2026</t>
  </si>
  <si>
    <t xml:space="preserve">05/03/2026</t>
  </si>
  <si>
    <t xml:space="preserve">GEICO|6211373516455073356</t>
  </si>
  <si>
    <t xml:space="preserve">6211373516-455073356</t>
  </si>
  <si>
    <t xml:space="preserve">JEREMY FERNANDEZ</t>
  </si>
  <si>
    <t xml:space="preserve">04/22/2026</t>
  </si>
  <si>
    <t xml:space="preserve">GEICO|6213666370456956148</t>
  </si>
  <si>
    <t xml:space="preserve">6213666370-456956148</t>
  </si>
  <si>
    <t xml:space="preserve">ANISLEY LOPEZ BROCHE</t>
  </si>
  <si>
    <t xml:space="preserve">05/29/2026</t>
  </si>
  <si>
    <t xml:space="preserve">05/10/2026</t>
  </si>
  <si>
    <t xml:space="preserve">GEICO|6215099570439166389</t>
  </si>
  <si>
    <t xml:space="preserve">6215099570-439166389</t>
  </si>
  <si>
    <t xml:space="preserve">BRANDON HEITMAN</t>
  </si>
  <si>
    <t xml:space="preserve">06/02/2026</t>
  </si>
  <si>
    <t xml:space="preserve">GEICO|6218976493442070681</t>
  </si>
  <si>
    <t xml:space="preserve">6218976493-442070681</t>
  </si>
  <si>
    <t xml:space="preserve">VICTOR JOA BLANCO</t>
  </si>
  <si>
    <t xml:space="preserve">GEICO|6219586788442580316</t>
  </si>
  <si>
    <t xml:space="preserve">6219586788-442580316</t>
  </si>
  <si>
    <t xml:space="preserve">IRIS LOPEZ SANCHEZ</t>
  </si>
  <si>
    <t xml:space="preserve">GEICO|6224341963445884698</t>
  </si>
  <si>
    <t xml:space="preserve">6224341963-445884698</t>
  </si>
  <si>
    <t xml:space="preserve">YADIAN PEREZ HERRERA</t>
  </si>
  <si>
    <t xml:space="preserve">GEICO|6233967402453513716</t>
  </si>
  <si>
    <t xml:space="preserve">6233967402-453513716</t>
  </si>
  <si>
    <t xml:space="preserve">MARIOLA ANDRE</t>
  </si>
  <si>
    <t xml:space="preserve">GEICO|6235264055454622861</t>
  </si>
  <si>
    <t xml:space="preserve">6235264055-454622861</t>
  </si>
  <si>
    <t xml:space="preserve">SAHAR MULLA</t>
  </si>
  <si>
    <t xml:space="preserve">04/19/2026</t>
  </si>
  <si>
    <t xml:space="preserve">GEICO|6235925572455077652</t>
  </si>
  <si>
    <t xml:space="preserve">6235925572-455077652</t>
  </si>
  <si>
    <t xml:space="preserve">YOEL MANZOR RAMON</t>
  </si>
  <si>
    <t xml:space="preserve">GEICO|6236984149456570864</t>
  </si>
  <si>
    <t xml:space="preserve">6236984149-456570864</t>
  </si>
  <si>
    <t xml:space="preserve">HAROLD DIAZ</t>
  </si>
  <si>
    <t xml:space="preserve">05/06/2026</t>
  </si>
  <si>
    <t xml:space="preserve">GEICO|6257187770457978272</t>
  </si>
  <si>
    <t xml:space="preserve">6257187770-457978272</t>
  </si>
  <si>
    <t xml:space="preserve">MILENI ORTIZ</t>
  </si>
  <si>
    <t xml:space="preserve">First Year Commission</t>
  </si>
  <si>
    <t xml:space="preserve">GEICO|6260512436460406529</t>
  </si>
  <si>
    <t xml:space="preserve">6260512436-460406529</t>
  </si>
  <si>
    <t xml:space="preserve">DARIL MARTIN</t>
  </si>
  <si>
    <t xml:space="preserve">GEICO|6261547670461191603</t>
  </si>
  <si>
    <t xml:space="preserve">6261547670-461191603</t>
  </si>
  <si>
    <t xml:space="preserve">VICENTE PEREZ</t>
  </si>
  <si>
    <t xml:space="preserve">GEICO|6261712878461298949</t>
  </si>
  <si>
    <t xml:space="preserve">6261712878-461298949</t>
  </si>
  <si>
    <t xml:space="preserve">ANTONIO PEREZ</t>
  </si>
  <si>
    <t xml:space="preserve">GEICO|6261849761461404862</t>
  </si>
  <si>
    <t xml:space="preserve">6261849761-461404862</t>
  </si>
  <si>
    <t xml:space="preserve">RAMON RODRIGUEZ FALCON</t>
  </si>
  <si>
    <t xml:space="preserve">GEICO|6263083237462381787</t>
  </si>
  <si>
    <t xml:space="preserve">6263083237-462381787</t>
  </si>
  <si>
    <t xml:space="preserve">RHONDALYN ROLLE</t>
  </si>
  <si>
    <t xml:space="preserve">GEICO|6263144823462389941</t>
  </si>
  <si>
    <t xml:space="preserve">6263144823-462389941</t>
  </si>
  <si>
    <t xml:space="preserve">BIANKE GADSDEN</t>
  </si>
  <si>
    <t xml:space="preserve">GEICO|9300181821330332</t>
  </si>
  <si>
    <t xml:space="preserve">9300181821-330332</t>
  </si>
  <si>
    <t xml:space="preserve">RENOVA CONSTRUCTI ON, LLC</t>
  </si>
  <si>
    <t xml:space="preserve">STATEMENT TOTAL (all transactions)</t>
  </si>
  <si>
    <t xml:space="preserve">Of which: Doral binder-book clients</t>
  </si>
  <si>
    <t xml:space="preserve">Recap by Carrier - Doral Binder Book vs. Full Carrier Statement</t>
  </si>
  <si>
    <t xml:space="preserve">Commission Statement Provided</t>
  </si>
  <si>
    <t xml:space="preserve">Carrier Comm Rate(s) Shown</t>
  </si>
  <si>
    <t xml:space="preserve">Binder Policies</t>
  </si>
  <si>
    <t xml:space="preserve">Policies Found on Statement</t>
  </si>
  <si>
    <t xml:space="preserve">Commissionable Premium (binder clients)</t>
  </si>
  <si>
    <t xml:space="preserve">Commission Earned (binder clients)</t>
  </si>
  <si>
    <t xml:space="preserve">Total Commission on Statement (all agency business)</t>
  </si>
  <si>
    <t xml:space="preserve">Binder Share of Statement</t>
  </si>
  <si>
    <t xml:space="preserve">Yes - Progressive Detailed Statement</t>
  </si>
  <si>
    <t xml:space="preserve">8% - 14% (varies by policy)</t>
  </si>
  <si>
    <t xml:space="preserve">Yes - Kemper Auto Producer Stmt</t>
  </si>
  <si>
    <t xml:space="preserve">10%</t>
  </si>
  <si>
    <t xml:space="preserve">No - not provided</t>
  </si>
  <si>
    <t xml:space="preserve">n/a</t>
  </si>
  <si>
    <t xml:space="preserve">Yes - Amwins Specialty Auto</t>
  </si>
  <si>
    <t xml:space="preserve">10% of net cash</t>
  </si>
  <si>
    <t xml:space="preserve">Yes - GEICO Commission Statement</t>
  </si>
  <si>
    <t xml:space="preserve">10% / 12% / 15%</t>
  </si>
  <si>
    <t xml:space="preserve">TOTAL</t>
  </si>
  <si>
    <t xml:space="preserve">Notes, Sources &amp; Methodology</t>
  </si>
  <si>
    <t xml:space="preserve">Source files</t>
  </si>
  <si>
    <t xml:space="preserve">Binder book</t>
  </si>
  <si>
    <t xml:space="preserve">Doral_Office_Binder_Book_June_Sheet.pdf - 63 policies (18 new business, 45 renewals), producer Jorge.</t>
  </si>
  <si>
    <t xml:space="preserve">DetailedStatement20260811_Progressive.xlsx - 188 transactions, agent 24258, month end 202606. Detail total commission $14,289.02 ties to the Summary tab of that file.</t>
  </si>
  <si>
    <t xml:space="preserve">Kemper.pdf - Kemper Auto Monthly Producer Statement, agent 5517897, 06/01/2026-06/30/2026. 27 commission transactions totalling $656.60, ties to the statement FL Commission Total.</t>
  </si>
  <si>
    <t xml:space="preserve">Amwins_Comm_1.PDF - Amwins Specialty Auto of Florida, agent 246500, commissions 06/01/2026-06/30/2026. 9 rows totalling $72.34, ties to the statement Agency Total.</t>
  </si>
  <si>
    <t xml:space="preserve">Commission_Statement_35.pdf - GEICO, payee Universal Brokers LLC. 38 transactions totalling $2,267.79, ties to the statement Payment Amount.</t>
  </si>
  <si>
    <t xml:space="preserve">How commission is calculated</t>
  </si>
  <si>
    <t xml:space="preserve">Matching</t>
  </si>
  <si>
    <t xml:space="preserve">Every binder-book policy was matched to the carrier statements by POLICY NUMBER, not by name, so name spelling differences between the binder and the carriers do not affect the result.</t>
  </si>
  <si>
    <t xml:space="preserve">Rate used</t>
  </si>
  <si>
    <t xml:space="preserve">The rate is taken from the carrier statement itself - it is never assumed. Commission = Commissionable Basis x the rate the carrier shows, rounded to the cent.</t>
  </si>
  <si>
    <t xml:space="preserve">Progressive basis</t>
  </si>
  <si>
    <t xml:space="preserve">Gross Premium on the Progressive detail line. Progressive shows a per-policy rate that varies (8%, 9%, 10%, 12%, 14%).</t>
  </si>
  <si>
    <t xml:space="preserve">Infinity basis</t>
  </si>
  <si>
    <t xml:space="preserve">Premium column on the Kemper statement. Kemper shows a flat 0.10 (10%) rate on every FL line.</t>
  </si>
  <si>
    <t xml:space="preserve">AmWins basis</t>
  </si>
  <si>
    <t xml:space="preserve">NET CASH (gross cash less fees), not written premium. AmWins shows 10% and applies it to net cash - e.g. Angely Gejo: $164.67 net cash x 10% = $16.47.</t>
  </si>
  <si>
    <t xml:space="preserve">Multiple transactions</t>
  </si>
  <si>
    <t xml:space="preserve">Where a policy has more than one line in a month (new business plus an endorsement or credit endorsement), all lines are netted. The Notes column on the summary lists them.</t>
  </si>
  <si>
    <t xml:space="preserve">Items that could not be commissioned</t>
  </si>
  <si>
    <t xml:space="preserve">United Auto (10 policies), Ocean Harbor (2 policies) and National General (3 policies) commission statements were not among the uploaded files, so no commission can be calculated for those 15 policies. Request those three statements to complete the book. Those 15 rows are shaded on the Commission Summary tab.</t>
  </si>
  <si>
    <t xml:space="preserve">Not on the June statement</t>
  </si>
  <si>
    <t xml:space="preserve">6 Progressive renewals on the binder book do not appear anywhere in the June Progressive detail: Amarillys Gonzalez (970306264), Brudys Garcia (990100610), Yosvany Larralde (982064065), Ana G Castano (866496112), Manuel Martinez (990228513), Reysel Castillo (970570633). These were verified by both policy number and name. Most likely the commission fell into the May or July statement period - worth following up with Progressive.</t>
  </si>
  <si>
    <t xml:space="preserve">No June activity</t>
  </si>
  <si>
    <t xml:space="preserve">4 Infinity policies are 12-month policies effective in December 2025 that carry no premium on the binder sheet and show no June 2026 activity on the Kemper statement: Levy Diaz Torres, Elizabeth Mirabal Hernandez, Ana Maria Acosta and James John Ciullo. $0 commission is the correct answer for those four this month, not a missing match.</t>
  </si>
  <si>
    <t xml:space="preserve">The GEICO statement was reviewed line by line. None of its 38 transactions belong to a Doral binder-book client - it covers writing agents Alberto Manzor Jr and Amanda Montano. It is included on the Transaction Detail tab flagged "No" for completeness only, and contributes $0 to the Doral totals.</t>
  </si>
  <si>
    <t xml:space="preserve">Controls performed</t>
  </si>
  <si>
    <t xml:space="preserve">Binder premium tie-out</t>
  </si>
  <si>
    <t xml:space="preserve">The Binder Premium column reproduces the binder sheet's own totals exactly: new business $29,109.40 ($28,891.00 base + $218.40 MVR/fees) and renewals $49,272.55, confirming all 63 rows were captured.</t>
  </si>
  <si>
    <t xml:space="preserve">Carrier tie-out</t>
  </si>
  <si>
    <t xml:space="preserve">Each carrier statement was re-added from its individual transaction lines and agreed to the total the carrier printed: Progressive $14,289.02, Kemper/Infinity $656.60, AmWins $72.34, GEICO $2,267.79.</t>
  </si>
  <si>
    <t xml:space="preserve">Rate re-performance</t>
  </si>
  <si>
    <t xml:space="preserve">Every commission on the Transaction Detail tab is recalculated in the workbook as basis x rate. All 262 transactions across the four statements reproduce the carrier-printed commission to the cent.</t>
  </si>
  <si>
    <t xml:space="preserve">Reading the workbook</t>
  </si>
  <si>
    <t xml:space="preserve">Commission Summary</t>
  </si>
  <si>
    <t xml:space="preserve">One row per binder-book policy, in binder order, split into New Business and Renewals with subtotals. Column O is the commission earned.</t>
  </si>
  <si>
    <t xml:space="preserve">Transaction Detail</t>
  </si>
  <si>
    <t xml:space="preserve">Every line from all four carrier statements. Column L flags whether the line belongs to a Doral binder-book client. Column K recalculates the commission from basis x rate, so it can be checked against the carrier.</t>
  </si>
  <si>
    <t xml:space="preserve">Carrier Recap</t>
  </si>
  <si>
    <t xml:space="preserve">Per-carrier totals, and what share of each carrier statement the Doral book represents.</t>
  </si>
</sst>
</file>

<file path=xl/styles.xml><?xml version="1.0" encoding="utf-8"?>
<styleSheet xmlns="http://schemas.openxmlformats.org/spreadsheetml/2006/main">
  <numFmts count="3">
    <numFmt numFmtId="164" formatCode="General"/>
    <numFmt numFmtId="165" formatCode="\$#,##0.00;&quot;($&quot;#,##0.00\);\-"/>
    <numFmt numFmtId="166"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i val="true"/>
      <sz val="10"/>
      <color rgb="FF404040"/>
      <name val="Arial"/>
      <family val="0"/>
      <charset val="1"/>
    </font>
    <font>
      <b val="true"/>
      <sz val="10"/>
      <color rgb="FFFFFFFF"/>
      <name val="Arial"/>
      <family val="0"/>
      <charset val="1"/>
    </font>
    <font>
      <b val="true"/>
      <sz val="10"/>
      <name val="Arial"/>
      <family val="0"/>
      <charset val="1"/>
    </font>
    <font>
      <b val="true"/>
      <sz val="11"/>
      <name val="Arial"/>
      <family val="0"/>
      <charset val="1"/>
    </font>
    <font>
      <b val="true"/>
      <sz val="13"/>
      <color rgb="FF1F3864"/>
      <name val="Arial"/>
      <family val="0"/>
      <charset val="1"/>
    </font>
    <font>
      <sz val="10"/>
      <name val="Arial"/>
      <family val="2"/>
    </font>
    <font>
      <b val="true"/>
      <sz val="11"/>
      <color rgb="FF1F3864"/>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8EA9DB"/>
        <bgColor rgb="FF969696"/>
      </patternFill>
    </fill>
    <fill>
      <patternFill patternType="solid">
        <fgColor rgb="FFFFF2CC"/>
        <bgColor rgb="FFFCE4D6"/>
      </patternFill>
    </fill>
    <fill>
      <patternFill patternType="solid">
        <fgColor rgb="FFD9E1F2"/>
        <bgColor rgb="FFE2EFDA"/>
      </patternFill>
    </fill>
    <fill>
      <patternFill patternType="solid">
        <fgColor rgb="FFFCE4D6"/>
        <bgColor rgb="FFFFF2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5" fillId="4" borderId="0" xfId="0" applyFont="true" applyBorder="false" applyAlignment="true" applyProtection="false">
      <alignment horizontal="general" vertical="center"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5" fontId="5" fillId="4" borderId="0" xfId="0" applyFont="true" applyBorder="false" applyAlignment="true" applyProtection="false">
      <alignment horizontal="general" vertical="center" textRotation="0" wrapText="false" indent="0" shrinkToFit="false"/>
      <protection locked="true" hidden="false"/>
    </xf>
    <xf numFmtId="166" fontId="5" fillId="4" borderId="0" xfId="0" applyFont="true" applyBorder="false" applyAlignment="true" applyProtection="false">
      <alignment horizontal="general"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8" fillId="5" borderId="0" xfId="0" applyFont="true" applyBorder="false" applyAlignment="true" applyProtection="false">
      <alignment horizontal="center" vertical="bottom" textRotation="0" wrapText="false" indent="0" shrinkToFit="false"/>
      <protection locked="true" hidden="false"/>
    </xf>
    <xf numFmtId="165" fontId="8" fillId="5" borderId="0" xfId="0" applyFont="true" applyBorder="false" applyAlignment="true" applyProtection="false">
      <alignment horizontal="general" vertical="center" textRotation="0" wrapText="false" indent="0" shrinkToFit="false"/>
      <protection locked="true" hidden="false"/>
    </xf>
    <xf numFmtId="166" fontId="8" fillId="5"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center" vertical="bottom" textRotation="0" wrapText="false" indent="0" shrinkToFit="false"/>
      <protection locked="true" hidden="false"/>
    </xf>
    <xf numFmtId="165" fontId="9" fillId="6" borderId="0" xfId="0" applyFont="true" applyBorder="false" applyAlignment="true" applyProtection="false">
      <alignment horizontal="general" vertical="center" textRotation="0" wrapText="false" indent="0" shrinkToFit="false"/>
      <protection locked="true" hidden="false"/>
    </xf>
    <xf numFmtId="166" fontId="9" fillId="6"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5" fontId="5" fillId="7" borderId="0" xfId="0" applyFont="true" applyBorder="false" applyAlignment="true" applyProtection="false">
      <alignment horizontal="general" vertical="center" textRotation="0" wrapText="false" indent="0" shrinkToFit="false"/>
      <protection locked="true" hidden="false"/>
    </xf>
    <xf numFmtId="166"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bottom" textRotation="0" wrapText="false" indent="0" shrinkToFit="false"/>
      <protection locked="true" hidden="false"/>
    </xf>
    <xf numFmtId="164" fontId="8" fillId="6" borderId="0" xfId="0" applyFont="true" applyBorder="false" applyAlignment="true" applyProtection="false">
      <alignment horizontal="general" vertical="center" textRotation="0" wrapText="false" indent="0" shrinkToFit="false"/>
      <protection locked="true" hidden="false"/>
    </xf>
    <xf numFmtId="165" fontId="8" fillId="6" borderId="0" xfId="0" applyFont="true" applyBorder="false" applyAlignment="true" applyProtection="false">
      <alignment horizontal="general" vertical="center" textRotation="0" wrapText="false" indent="0" shrinkToFit="false"/>
      <protection locked="true" hidden="false"/>
    </xf>
    <xf numFmtId="166" fontId="8" fillId="6" borderId="0" xfId="0" applyFont="true" applyBorder="false" applyAlignment="true" applyProtection="false">
      <alignment horizontal="general" vertical="center" textRotation="0" wrapText="false" indent="0" shrinkToFit="false"/>
      <protection locked="true" hidden="false"/>
    </xf>
    <xf numFmtId="164" fontId="8" fillId="6"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8EA9DB"/>
          <bgColor rgb="FF000000"/>
        </patternFill>
      </fill>
    </dxf>
    <dxf>
      <fill>
        <patternFill patternType="solid">
          <fgColor rgb="FFD9E1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6" min="5" style="0" width="17"/>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4"/>
    <col collapsed="false" customWidth="true" hidden="false" outlineLevel="0" max="11" min="11" style="0" width="34"/>
    <col collapsed="false" customWidth="true" hidden="false" outlineLevel="0" max="12" min="12" style="0" width="7"/>
    <col collapsed="false" customWidth="true" hidden="false" outlineLevel="0" max="13" min="13" style="0" width="13"/>
    <col collapsed="false" customWidth="true" hidden="false" outlineLevel="0" max="15" min="14" style="0" width="16"/>
    <col collapsed="false" customWidth="true" hidden="false" outlineLevel="0" max="16" min="16" style="0" width="11"/>
    <col collapsed="false" customWidth="true" hidden="false" outlineLevel="0" max="17" min="17" style="0" width="80"/>
    <col collapsed="false" customWidth="true" hidden="true" outlineLevel="0" max="18" min="18" style="0" width="13"/>
  </cols>
  <sheetData>
    <row r="1" customFormat="false" ht="17.35" hidden="false" customHeight="false" outlineLevel="0" collapsed="false">
      <c r="A1" s="1" t="s">
        <v>0</v>
      </c>
      <c r="B1" s="2"/>
      <c r="C1" s="2"/>
      <c r="D1" s="2"/>
      <c r="E1" s="2"/>
      <c r="F1" s="2"/>
      <c r="G1" s="2"/>
      <c r="H1" s="2"/>
      <c r="I1" s="2"/>
      <c r="J1" s="2"/>
      <c r="K1" s="2"/>
      <c r="L1" s="2"/>
      <c r="M1" s="2"/>
      <c r="N1" s="2"/>
      <c r="O1" s="2"/>
      <c r="P1" s="2"/>
      <c r="Q1" s="2"/>
      <c r="R1" s="2"/>
    </row>
    <row r="2" customFormat="false" ht="15" hidden="false" customHeight="false" outlineLevel="0" collapsed="false">
      <c r="A2" s="2" t="s">
        <v>1</v>
      </c>
      <c r="B2" s="2"/>
      <c r="C2" s="2"/>
      <c r="D2" s="2"/>
      <c r="E2" s="2"/>
      <c r="F2" s="2"/>
      <c r="G2" s="2"/>
      <c r="H2" s="2"/>
      <c r="I2" s="2"/>
      <c r="J2" s="2"/>
      <c r="K2" s="2"/>
      <c r="L2" s="2"/>
      <c r="M2" s="2"/>
      <c r="N2" s="2"/>
      <c r="O2" s="2"/>
      <c r="P2" s="2"/>
      <c r="Q2" s="2"/>
      <c r="R2" s="2"/>
    </row>
    <row r="3" customFormat="false" ht="15" hidden="false" customHeight="false" outlineLevel="0" collapsed="false">
      <c r="A3" s="3" t="s">
        <v>2</v>
      </c>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30"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c r="P5" s="4" t="s">
        <v>18</v>
      </c>
      <c r="Q5" s="4" t="s">
        <v>19</v>
      </c>
      <c r="R5" s="2" t="s">
        <v>20</v>
      </c>
    </row>
    <row r="6" customFormat="false" ht="15" hidden="false" customHeight="false" outlineLevel="0" collapsed="false">
      <c r="A6" s="5" t="s">
        <v>21</v>
      </c>
      <c r="B6" s="6"/>
      <c r="C6" s="6"/>
      <c r="D6" s="6"/>
      <c r="E6" s="6"/>
      <c r="F6" s="6"/>
      <c r="G6" s="6"/>
      <c r="H6" s="6"/>
      <c r="I6" s="7"/>
      <c r="J6" s="8"/>
      <c r="K6" s="6"/>
      <c r="L6" s="7"/>
      <c r="M6" s="7"/>
      <c r="N6" s="8"/>
      <c r="O6" s="8"/>
      <c r="P6" s="9"/>
      <c r="Q6" s="6"/>
      <c r="R6" s="2"/>
    </row>
    <row r="7" customFormat="false" ht="15" hidden="false" customHeight="false" outlineLevel="0" collapsed="false">
      <c r="A7" s="2" t="s">
        <v>22</v>
      </c>
      <c r="B7" s="2" t="s">
        <v>23</v>
      </c>
      <c r="C7" s="2" t="s">
        <v>24</v>
      </c>
      <c r="D7" s="2" t="s">
        <v>25</v>
      </c>
      <c r="E7" s="2" t="s">
        <v>26</v>
      </c>
      <c r="F7" s="2" t="s">
        <v>27</v>
      </c>
      <c r="G7" s="2" t="s">
        <v>28</v>
      </c>
      <c r="H7" s="2" t="s">
        <v>29</v>
      </c>
      <c r="I7" s="10" t="n">
        <v>6</v>
      </c>
      <c r="J7" s="11" t="n">
        <v>1183</v>
      </c>
      <c r="K7" s="2" t="s">
        <v>30</v>
      </c>
      <c r="L7" s="10" t="n">
        <f aca="false">COUNTIF('Transaction Detail'!$A$2:$A$263,$R7)</f>
        <v>1</v>
      </c>
      <c r="M7" s="12" t="n">
        <v>0.1</v>
      </c>
      <c r="N7" s="11" t="n">
        <f aca="false">SUMIF('Transaction Detail'!$A$2:$A$263,$R7,'Transaction Detail'!$I$2:$I$263)</f>
        <v>1183</v>
      </c>
      <c r="O7" s="11" t="n">
        <f aca="false">SUMIF('Transaction Detail'!$A$2:$A$263,$R7,'Transaction Detail'!$K$2:$K$263)</f>
        <v>118.3</v>
      </c>
      <c r="P7" s="13" t="n">
        <f aca="false">IF(N7=0,"",O7/N7)</f>
        <v>0.1</v>
      </c>
      <c r="Q7" s="2"/>
      <c r="R7" s="2" t="s">
        <v>31</v>
      </c>
    </row>
    <row r="8" customFormat="false" ht="15" hidden="false" customHeight="false" outlineLevel="0" collapsed="false">
      <c r="A8" s="2" t="s">
        <v>22</v>
      </c>
      <c r="B8" s="2" t="s">
        <v>32</v>
      </c>
      <c r="C8" s="2" t="s">
        <v>24</v>
      </c>
      <c r="D8" s="2" t="s">
        <v>25</v>
      </c>
      <c r="E8" s="2" t="s">
        <v>26</v>
      </c>
      <c r="F8" s="2" t="s">
        <v>27</v>
      </c>
      <c r="G8" s="2" t="s">
        <v>33</v>
      </c>
      <c r="H8" s="2" t="s">
        <v>34</v>
      </c>
      <c r="I8" s="10" t="n">
        <v>6</v>
      </c>
      <c r="J8" s="11" t="n">
        <v>944</v>
      </c>
      <c r="K8" s="2" t="s">
        <v>30</v>
      </c>
      <c r="L8" s="10" t="n">
        <f aca="false">COUNTIF('Transaction Detail'!$A$2:$A$263,$R8)</f>
        <v>1</v>
      </c>
      <c r="M8" s="12" t="n">
        <v>0.1</v>
      </c>
      <c r="N8" s="11" t="n">
        <f aca="false">SUMIF('Transaction Detail'!$A$2:$A$263,$R8,'Transaction Detail'!$I$2:$I$263)</f>
        <v>934</v>
      </c>
      <c r="O8" s="11" t="n">
        <f aca="false">SUMIF('Transaction Detail'!$A$2:$A$263,$R8,'Transaction Detail'!$K$2:$K$263)</f>
        <v>93.4</v>
      </c>
      <c r="P8" s="13" t="n">
        <f aca="false">IF(N8=0,"",O8/N8)</f>
        <v>0.1</v>
      </c>
      <c r="Q8" s="2"/>
      <c r="R8" s="2" t="s">
        <v>35</v>
      </c>
    </row>
    <row r="9" customFormat="false" ht="15" hidden="false" customHeight="false" outlineLevel="0" collapsed="false">
      <c r="A9" s="14" t="s">
        <v>22</v>
      </c>
      <c r="B9" s="14" t="s">
        <v>36</v>
      </c>
      <c r="C9" s="14" t="s">
        <v>24</v>
      </c>
      <c r="D9" s="14" t="s">
        <v>25</v>
      </c>
      <c r="E9" s="14" t="s">
        <v>26</v>
      </c>
      <c r="F9" s="14" t="s">
        <v>37</v>
      </c>
      <c r="G9" s="14" t="s">
        <v>38</v>
      </c>
      <c r="H9" s="14" t="s">
        <v>39</v>
      </c>
      <c r="I9" s="15" t="n">
        <v>12</v>
      </c>
      <c r="J9" s="16" t="n">
        <v>1103.35</v>
      </c>
      <c r="K9" s="14" t="s">
        <v>40</v>
      </c>
      <c r="L9" s="15" t="n">
        <f aca="false">COUNTIF('Transaction Detail'!$A$2:$A$263,$R9)</f>
        <v>0</v>
      </c>
      <c r="M9" s="15"/>
      <c r="N9" s="16" t="n">
        <f aca="false">SUMIF('Transaction Detail'!$A$2:$A$263,$R9,'Transaction Detail'!$I$2:$I$263)</f>
        <v>0</v>
      </c>
      <c r="O9" s="16" t="n">
        <f aca="false">SUMIF('Transaction Detail'!$A$2:$A$263,$R9,'Transaction Detail'!$K$2:$K$263)</f>
        <v>0</v>
      </c>
      <c r="P9" s="17" t="str">
        <f aca="false">IF(N9=0,"",O9/N9)</f>
        <v/>
      </c>
      <c r="Q9" s="14" t="s">
        <v>41</v>
      </c>
      <c r="R9" s="2" t="s">
        <v>42</v>
      </c>
    </row>
    <row r="10" customFormat="false" ht="15" hidden="false" customHeight="false" outlineLevel="0" collapsed="false">
      <c r="A10" s="2" t="s">
        <v>22</v>
      </c>
      <c r="B10" s="2" t="s">
        <v>43</v>
      </c>
      <c r="C10" s="2" t="s">
        <v>24</v>
      </c>
      <c r="D10" s="2" t="s">
        <v>25</v>
      </c>
      <c r="E10" s="2" t="s">
        <v>26</v>
      </c>
      <c r="F10" s="2" t="s">
        <v>44</v>
      </c>
      <c r="G10" s="2" t="s">
        <v>45</v>
      </c>
      <c r="H10" s="2" t="s">
        <v>46</v>
      </c>
      <c r="I10" s="10" t="n">
        <v>6</v>
      </c>
      <c r="J10" s="11" t="n">
        <v>1175</v>
      </c>
      <c r="K10" s="2" t="s">
        <v>47</v>
      </c>
      <c r="L10" s="10" t="n">
        <f aca="false">COUNTIF('Transaction Detail'!$A$2:$A$263,$R10)</f>
        <v>1</v>
      </c>
      <c r="M10" s="12" t="n">
        <v>0.12</v>
      </c>
      <c r="N10" s="11" t="n">
        <f aca="false">SUMIF('Transaction Detail'!$A$2:$A$263,$R10,'Transaction Detail'!$I$2:$I$263)</f>
        <v>1175</v>
      </c>
      <c r="O10" s="11" t="n">
        <f aca="false">SUMIF('Transaction Detail'!$A$2:$A$263,$R10,'Transaction Detail'!$K$2:$K$263)</f>
        <v>141</v>
      </c>
      <c r="P10" s="13" t="n">
        <f aca="false">IF(N10=0,"",O10/N10)</f>
        <v>0.12</v>
      </c>
      <c r="Q10" s="2"/>
      <c r="R10" s="2" t="s">
        <v>48</v>
      </c>
    </row>
    <row r="11" customFormat="false" ht="15" hidden="false" customHeight="false" outlineLevel="0" collapsed="false">
      <c r="A11" s="2" t="s">
        <v>22</v>
      </c>
      <c r="B11" s="2" t="s">
        <v>49</v>
      </c>
      <c r="C11" s="2" t="s">
        <v>24</v>
      </c>
      <c r="D11" s="2" t="s">
        <v>25</v>
      </c>
      <c r="E11" s="2" t="s">
        <v>26</v>
      </c>
      <c r="F11" s="2" t="s">
        <v>44</v>
      </c>
      <c r="G11" s="2" t="s">
        <v>50</v>
      </c>
      <c r="H11" s="2" t="s">
        <v>51</v>
      </c>
      <c r="I11" s="10" t="n">
        <v>6</v>
      </c>
      <c r="J11" s="11" t="n">
        <v>1935</v>
      </c>
      <c r="K11" s="2" t="s">
        <v>47</v>
      </c>
      <c r="L11" s="10" t="n">
        <f aca="false">COUNTIF('Transaction Detail'!$A$2:$A$263,$R11)</f>
        <v>3</v>
      </c>
      <c r="M11" s="12" t="n">
        <v>0.14</v>
      </c>
      <c r="N11" s="11" t="n">
        <f aca="false">SUMIF('Transaction Detail'!$A$2:$A$263,$R11,'Transaction Detail'!$I$2:$I$263)</f>
        <v>1413.29</v>
      </c>
      <c r="O11" s="11" t="n">
        <f aca="false">SUMIF('Transaction Detail'!$A$2:$A$263,$R11,'Transaction Detail'!$K$2:$K$263)</f>
        <v>197.86</v>
      </c>
      <c r="P11" s="13" t="n">
        <f aca="false">IF(N11=0,"",O11/N11)</f>
        <v>0.139999575458682</v>
      </c>
      <c r="Q11" s="2" t="s">
        <v>52</v>
      </c>
      <c r="R11" s="2" t="s">
        <v>53</v>
      </c>
    </row>
    <row r="12" customFormat="false" ht="15" hidden="false" customHeight="false" outlineLevel="0" collapsed="false">
      <c r="A12" s="2" t="s">
        <v>22</v>
      </c>
      <c r="B12" s="2" t="s">
        <v>54</v>
      </c>
      <c r="C12" s="2" t="s">
        <v>24</v>
      </c>
      <c r="D12" s="2" t="s">
        <v>25</v>
      </c>
      <c r="E12" s="2" t="s">
        <v>26</v>
      </c>
      <c r="F12" s="2" t="s">
        <v>44</v>
      </c>
      <c r="G12" s="2" t="s">
        <v>55</v>
      </c>
      <c r="H12" s="2" t="s">
        <v>56</v>
      </c>
      <c r="I12" s="10" t="n">
        <v>6</v>
      </c>
      <c r="J12" s="11" t="n">
        <v>4319</v>
      </c>
      <c r="K12" s="2" t="s">
        <v>47</v>
      </c>
      <c r="L12" s="10" t="n">
        <f aca="false">COUNTIF('Transaction Detail'!$A$2:$A$263,$R12)</f>
        <v>1</v>
      </c>
      <c r="M12" s="12" t="n">
        <v>0.1</v>
      </c>
      <c r="N12" s="11" t="n">
        <f aca="false">SUMIF('Transaction Detail'!$A$2:$A$263,$R12,'Transaction Detail'!$I$2:$I$263)</f>
        <v>4319</v>
      </c>
      <c r="O12" s="11" t="n">
        <f aca="false">SUMIF('Transaction Detail'!$A$2:$A$263,$R12,'Transaction Detail'!$K$2:$K$263)</f>
        <v>431.9</v>
      </c>
      <c r="P12" s="13" t="n">
        <f aca="false">IF(N12=0,"",O12/N12)</f>
        <v>0.1</v>
      </c>
      <c r="Q12" s="2"/>
      <c r="R12" s="2" t="s">
        <v>57</v>
      </c>
    </row>
    <row r="13" customFormat="false" ht="15" hidden="false" customHeight="false" outlineLevel="0" collapsed="false">
      <c r="A13" s="2" t="s">
        <v>22</v>
      </c>
      <c r="B13" s="2" t="s">
        <v>58</v>
      </c>
      <c r="C13" s="2" t="s">
        <v>24</v>
      </c>
      <c r="D13" s="2" t="s">
        <v>25</v>
      </c>
      <c r="E13" s="2" t="s">
        <v>26</v>
      </c>
      <c r="F13" s="2" t="s">
        <v>44</v>
      </c>
      <c r="G13" s="2" t="s">
        <v>59</v>
      </c>
      <c r="H13" s="2" t="s">
        <v>60</v>
      </c>
      <c r="I13" s="10" t="n">
        <v>6</v>
      </c>
      <c r="J13" s="11" t="n">
        <v>1071</v>
      </c>
      <c r="K13" s="2" t="s">
        <v>47</v>
      </c>
      <c r="L13" s="10" t="n">
        <f aca="false">COUNTIF('Transaction Detail'!$A$2:$A$263,$R13)</f>
        <v>1</v>
      </c>
      <c r="M13" s="12" t="n">
        <v>0.1</v>
      </c>
      <c r="N13" s="11" t="n">
        <f aca="false">SUMIF('Transaction Detail'!$A$2:$A$263,$R13,'Transaction Detail'!$I$2:$I$263)</f>
        <v>1071</v>
      </c>
      <c r="O13" s="11" t="n">
        <f aca="false">SUMIF('Transaction Detail'!$A$2:$A$263,$R13,'Transaction Detail'!$K$2:$K$263)</f>
        <v>107.1</v>
      </c>
      <c r="P13" s="13" t="n">
        <f aca="false">IF(N13=0,"",O13/N13)</f>
        <v>0.1</v>
      </c>
      <c r="Q13" s="2"/>
      <c r="R13" s="2" t="s">
        <v>61</v>
      </c>
    </row>
    <row r="14" customFormat="false" ht="15" hidden="false" customHeight="false" outlineLevel="0" collapsed="false">
      <c r="A14" s="14" t="s">
        <v>22</v>
      </c>
      <c r="B14" s="14" t="s">
        <v>62</v>
      </c>
      <c r="C14" s="14" t="s">
        <v>24</v>
      </c>
      <c r="D14" s="14" t="s">
        <v>25</v>
      </c>
      <c r="E14" s="14" t="s">
        <v>26</v>
      </c>
      <c r="F14" s="14" t="s">
        <v>37</v>
      </c>
      <c r="G14" s="14" t="s">
        <v>63</v>
      </c>
      <c r="H14" s="14" t="s">
        <v>60</v>
      </c>
      <c r="I14" s="15" t="n">
        <v>12</v>
      </c>
      <c r="J14" s="16" t="n">
        <v>2840.35</v>
      </c>
      <c r="K14" s="14" t="s">
        <v>40</v>
      </c>
      <c r="L14" s="15" t="n">
        <f aca="false">COUNTIF('Transaction Detail'!$A$2:$A$263,$R14)</f>
        <v>0</v>
      </c>
      <c r="M14" s="15"/>
      <c r="N14" s="16" t="n">
        <f aca="false">SUMIF('Transaction Detail'!$A$2:$A$263,$R14,'Transaction Detail'!$I$2:$I$263)</f>
        <v>0</v>
      </c>
      <c r="O14" s="16" t="n">
        <f aca="false">SUMIF('Transaction Detail'!$A$2:$A$263,$R14,'Transaction Detail'!$K$2:$K$263)</f>
        <v>0</v>
      </c>
      <c r="P14" s="17" t="str">
        <f aca="false">IF(N14=0,"",O14/N14)</f>
        <v/>
      </c>
      <c r="Q14" s="14" t="s">
        <v>41</v>
      </c>
      <c r="R14" s="2" t="s">
        <v>64</v>
      </c>
    </row>
    <row r="15" customFormat="false" ht="15" hidden="false" customHeight="false" outlineLevel="0" collapsed="false">
      <c r="A15" s="2" t="s">
        <v>22</v>
      </c>
      <c r="B15" s="2" t="s">
        <v>65</v>
      </c>
      <c r="C15" s="2" t="s">
        <v>24</v>
      </c>
      <c r="D15" s="2" t="s">
        <v>25</v>
      </c>
      <c r="E15" s="2" t="s">
        <v>26</v>
      </c>
      <c r="F15" s="2" t="s">
        <v>44</v>
      </c>
      <c r="G15" s="2" t="s">
        <v>66</v>
      </c>
      <c r="H15" s="2" t="s">
        <v>60</v>
      </c>
      <c r="I15" s="10" t="n">
        <v>6</v>
      </c>
      <c r="J15" s="11" t="n">
        <v>1568</v>
      </c>
      <c r="K15" s="2" t="s">
        <v>47</v>
      </c>
      <c r="L15" s="10" t="n">
        <f aca="false">COUNTIF('Transaction Detail'!$A$2:$A$263,$R15)</f>
        <v>1</v>
      </c>
      <c r="M15" s="12" t="n">
        <v>0.1</v>
      </c>
      <c r="N15" s="11" t="n">
        <f aca="false">SUMIF('Transaction Detail'!$A$2:$A$263,$R15,'Transaction Detail'!$I$2:$I$263)</f>
        <v>1568</v>
      </c>
      <c r="O15" s="11" t="n">
        <f aca="false">SUMIF('Transaction Detail'!$A$2:$A$263,$R15,'Transaction Detail'!$K$2:$K$263)</f>
        <v>156.8</v>
      </c>
      <c r="P15" s="13" t="n">
        <f aca="false">IF(N15=0,"",O15/N15)</f>
        <v>0.1</v>
      </c>
      <c r="Q15" s="2"/>
      <c r="R15" s="2" t="s">
        <v>67</v>
      </c>
    </row>
    <row r="16" customFormat="false" ht="15" hidden="false" customHeight="false" outlineLevel="0" collapsed="false">
      <c r="A16" s="14" t="s">
        <v>22</v>
      </c>
      <c r="B16" s="14" t="s">
        <v>68</v>
      </c>
      <c r="C16" s="14" t="s">
        <v>24</v>
      </c>
      <c r="D16" s="14" t="s">
        <v>25</v>
      </c>
      <c r="E16" s="14" t="s">
        <v>26</v>
      </c>
      <c r="F16" s="14" t="s">
        <v>37</v>
      </c>
      <c r="G16" s="14" t="s">
        <v>69</v>
      </c>
      <c r="H16" s="14" t="s">
        <v>70</v>
      </c>
      <c r="I16" s="15" t="n">
        <v>12</v>
      </c>
      <c r="J16" s="16" t="n">
        <v>2268</v>
      </c>
      <c r="K16" s="14" t="s">
        <v>40</v>
      </c>
      <c r="L16" s="15" t="n">
        <f aca="false">COUNTIF('Transaction Detail'!$A$2:$A$263,$R16)</f>
        <v>0</v>
      </c>
      <c r="M16" s="15"/>
      <c r="N16" s="16" t="n">
        <f aca="false">SUMIF('Transaction Detail'!$A$2:$A$263,$R16,'Transaction Detail'!$I$2:$I$263)</f>
        <v>0</v>
      </c>
      <c r="O16" s="16" t="n">
        <f aca="false">SUMIF('Transaction Detail'!$A$2:$A$263,$R16,'Transaction Detail'!$K$2:$K$263)</f>
        <v>0</v>
      </c>
      <c r="P16" s="17" t="str">
        <f aca="false">IF(N16=0,"",O16/N16)</f>
        <v/>
      </c>
      <c r="Q16" s="14" t="s">
        <v>41</v>
      </c>
      <c r="R16" s="2" t="s">
        <v>71</v>
      </c>
    </row>
    <row r="17" customFormat="false" ht="15" hidden="false" customHeight="false" outlineLevel="0" collapsed="false">
      <c r="A17" s="14" t="s">
        <v>22</v>
      </c>
      <c r="B17" s="14" t="s">
        <v>72</v>
      </c>
      <c r="C17" s="14" t="s">
        <v>24</v>
      </c>
      <c r="D17" s="14" t="s">
        <v>25</v>
      </c>
      <c r="E17" s="14" t="s">
        <v>26</v>
      </c>
      <c r="F17" s="14" t="s">
        <v>37</v>
      </c>
      <c r="G17" s="14" t="s">
        <v>73</v>
      </c>
      <c r="H17" s="14" t="s">
        <v>74</v>
      </c>
      <c r="I17" s="15" t="n">
        <v>12</v>
      </c>
      <c r="J17" s="16" t="n">
        <v>1122.35</v>
      </c>
      <c r="K17" s="14" t="s">
        <v>40</v>
      </c>
      <c r="L17" s="15" t="n">
        <f aca="false">COUNTIF('Transaction Detail'!$A$2:$A$263,$R17)</f>
        <v>0</v>
      </c>
      <c r="M17" s="15"/>
      <c r="N17" s="16" t="n">
        <f aca="false">SUMIF('Transaction Detail'!$A$2:$A$263,$R17,'Transaction Detail'!$I$2:$I$263)</f>
        <v>0</v>
      </c>
      <c r="O17" s="16" t="n">
        <f aca="false">SUMIF('Transaction Detail'!$A$2:$A$263,$R17,'Transaction Detail'!$K$2:$K$263)</f>
        <v>0</v>
      </c>
      <c r="P17" s="17" t="str">
        <f aca="false">IF(N17=0,"",O17/N17)</f>
        <v/>
      </c>
      <c r="Q17" s="14" t="s">
        <v>41</v>
      </c>
      <c r="R17" s="2" t="s">
        <v>75</v>
      </c>
    </row>
    <row r="18" customFormat="false" ht="15" hidden="false" customHeight="false" outlineLevel="0" collapsed="false">
      <c r="A18" s="2" t="s">
        <v>22</v>
      </c>
      <c r="B18" s="2" t="s">
        <v>76</v>
      </c>
      <c r="C18" s="2" t="s">
        <v>24</v>
      </c>
      <c r="D18" s="2" t="s">
        <v>25</v>
      </c>
      <c r="E18" s="2" t="s">
        <v>26</v>
      </c>
      <c r="F18" s="2" t="s">
        <v>27</v>
      </c>
      <c r="G18" s="2" t="s">
        <v>77</v>
      </c>
      <c r="H18" s="2" t="s">
        <v>78</v>
      </c>
      <c r="I18" s="10" t="n">
        <v>6</v>
      </c>
      <c r="J18" s="11" t="n">
        <v>820</v>
      </c>
      <c r="K18" s="2" t="s">
        <v>30</v>
      </c>
      <c r="L18" s="10" t="n">
        <f aca="false">COUNTIF('Transaction Detail'!$A$2:$A$263,$R18)</f>
        <v>1</v>
      </c>
      <c r="M18" s="12" t="n">
        <v>0.1</v>
      </c>
      <c r="N18" s="11" t="n">
        <f aca="false">SUMIF('Transaction Detail'!$A$2:$A$263,$R18,'Transaction Detail'!$I$2:$I$263)</f>
        <v>810</v>
      </c>
      <c r="O18" s="11" t="n">
        <f aca="false">SUMIF('Transaction Detail'!$A$2:$A$263,$R18,'Transaction Detail'!$K$2:$K$263)</f>
        <v>81</v>
      </c>
      <c r="P18" s="13" t="n">
        <f aca="false">IF(N18=0,"",O18/N18)</f>
        <v>0.1</v>
      </c>
      <c r="Q18" s="2"/>
      <c r="R18" s="2" t="s">
        <v>79</v>
      </c>
    </row>
    <row r="19" customFormat="false" ht="15" hidden="false" customHeight="false" outlineLevel="0" collapsed="false">
      <c r="A19" s="2" t="s">
        <v>22</v>
      </c>
      <c r="B19" s="2" t="s">
        <v>80</v>
      </c>
      <c r="C19" s="2" t="s">
        <v>24</v>
      </c>
      <c r="D19" s="2" t="s">
        <v>25</v>
      </c>
      <c r="E19" s="2" t="s">
        <v>26</v>
      </c>
      <c r="F19" s="2" t="s">
        <v>44</v>
      </c>
      <c r="G19" s="2" t="s">
        <v>81</v>
      </c>
      <c r="H19" s="2" t="s">
        <v>78</v>
      </c>
      <c r="I19" s="10" t="n">
        <v>6</v>
      </c>
      <c r="J19" s="11" t="n">
        <v>1760</v>
      </c>
      <c r="K19" s="2" t="s">
        <v>47</v>
      </c>
      <c r="L19" s="10" t="n">
        <f aca="false">COUNTIF('Transaction Detail'!$A$2:$A$263,$R19)</f>
        <v>2</v>
      </c>
      <c r="M19" s="12" t="n">
        <v>0.1</v>
      </c>
      <c r="N19" s="11" t="n">
        <f aca="false">SUMIF('Transaction Detail'!$A$2:$A$263,$R19,'Transaction Detail'!$I$2:$I$263)</f>
        <v>1674</v>
      </c>
      <c r="O19" s="11" t="n">
        <f aca="false">SUMIF('Transaction Detail'!$A$2:$A$263,$R19,'Transaction Detail'!$K$2:$K$263)</f>
        <v>167.4</v>
      </c>
      <c r="P19" s="13" t="n">
        <f aca="false">IF(N19=0,"",O19/N19)</f>
        <v>0.1</v>
      </c>
      <c r="Q19" s="2" t="s">
        <v>82</v>
      </c>
      <c r="R19" s="2" t="s">
        <v>83</v>
      </c>
    </row>
    <row r="20" customFormat="false" ht="15" hidden="false" customHeight="false" outlineLevel="0" collapsed="false">
      <c r="A20" s="2" t="s">
        <v>22</v>
      </c>
      <c r="B20" s="2" t="s">
        <v>84</v>
      </c>
      <c r="C20" s="2" t="s">
        <v>24</v>
      </c>
      <c r="D20" s="2" t="s">
        <v>25</v>
      </c>
      <c r="E20" s="2" t="s">
        <v>26</v>
      </c>
      <c r="F20" s="2" t="s">
        <v>27</v>
      </c>
      <c r="G20" s="2" t="s">
        <v>85</v>
      </c>
      <c r="H20" s="2" t="s">
        <v>86</v>
      </c>
      <c r="I20" s="10" t="n">
        <v>6</v>
      </c>
      <c r="J20" s="11" t="n">
        <v>1460</v>
      </c>
      <c r="K20" s="2" t="s">
        <v>30</v>
      </c>
      <c r="L20" s="10" t="n">
        <f aca="false">COUNTIF('Transaction Detail'!$A$2:$A$263,$R20)</f>
        <v>1</v>
      </c>
      <c r="M20" s="12" t="n">
        <v>0.1</v>
      </c>
      <c r="N20" s="11" t="n">
        <f aca="false">SUMIF('Transaction Detail'!$A$2:$A$263,$R20,'Transaction Detail'!$I$2:$I$263)</f>
        <v>1450</v>
      </c>
      <c r="O20" s="11" t="n">
        <f aca="false">SUMIF('Transaction Detail'!$A$2:$A$263,$R20,'Transaction Detail'!$K$2:$K$263)</f>
        <v>145</v>
      </c>
      <c r="P20" s="13" t="n">
        <f aca="false">IF(N20=0,"",O20/N20)</f>
        <v>0.1</v>
      </c>
      <c r="Q20" s="2"/>
      <c r="R20" s="2" t="s">
        <v>87</v>
      </c>
    </row>
    <row r="21" customFormat="false" ht="15" hidden="false" customHeight="false" outlineLevel="0" collapsed="false">
      <c r="A21" s="2" t="s">
        <v>22</v>
      </c>
      <c r="B21" s="2" t="s">
        <v>88</v>
      </c>
      <c r="C21" s="2" t="s">
        <v>24</v>
      </c>
      <c r="D21" s="2" t="s">
        <v>25</v>
      </c>
      <c r="E21" s="2" t="s">
        <v>26</v>
      </c>
      <c r="F21" s="2" t="s">
        <v>44</v>
      </c>
      <c r="G21" s="2" t="s">
        <v>89</v>
      </c>
      <c r="H21" s="2" t="s">
        <v>86</v>
      </c>
      <c r="I21" s="10" t="n">
        <v>6</v>
      </c>
      <c r="J21" s="11" t="n">
        <v>1770</v>
      </c>
      <c r="K21" s="2" t="s">
        <v>47</v>
      </c>
      <c r="L21" s="10" t="n">
        <f aca="false">COUNTIF('Transaction Detail'!$A$2:$A$263,$R21)</f>
        <v>1</v>
      </c>
      <c r="M21" s="12" t="n">
        <v>0.12</v>
      </c>
      <c r="N21" s="11" t="n">
        <f aca="false">SUMIF('Transaction Detail'!$A$2:$A$263,$R21,'Transaction Detail'!$I$2:$I$263)</f>
        <v>1770</v>
      </c>
      <c r="O21" s="11" t="n">
        <f aca="false">SUMIF('Transaction Detail'!$A$2:$A$263,$R21,'Transaction Detail'!$K$2:$K$263)</f>
        <v>212.4</v>
      </c>
      <c r="P21" s="13" t="n">
        <f aca="false">IF(N21=0,"",O21/N21)</f>
        <v>0.12</v>
      </c>
      <c r="Q21" s="2"/>
      <c r="R21" s="2" t="s">
        <v>90</v>
      </c>
    </row>
    <row r="22" customFormat="false" ht="15" hidden="false" customHeight="false" outlineLevel="0" collapsed="false">
      <c r="A22" s="2" t="s">
        <v>22</v>
      </c>
      <c r="B22" s="2" t="s">
        <v>91</v>
      </c>
      <c r="C22" s="2" t="s">
        <v>24</v>
      </c>
      <c r="D22" s="2" t="s">
        <v>25</v>
      </c>
      <c r="E22" s="2" t="s">
        <v>26</v>
      </c>
      <c r="F22" s="2" t="s">
        <v>44</v>
      </c>
      <c r="G22" s="2" t="s">
        <v>92</v>
      </c>
      <c r="H22" s="2" t="s">
        <v>93</v>
      </c>
      <c r="I22" s="10" t="n">
        <v>6</v>
      </c>
      <c r="J22" s="11" t="n">
        <v>370</v>
      </c>
      <c r="K22" s="2" t="s">
        <v>47</v>
      </c>
      <c r="L22" s="10" t="n">
        <f aca="false">COUNTIF('Transaction Detail'!$A$2:$A$263,$R22)</f>
        <v>1</v>
      </c>
      <c r="M22" s="12" t="n">
        <v>0.1</v>
      </c>
      <c r="N22" s="11" t="n">
        <f aca="false">SUMIF('Transaction Detail'!$A$2:$A$263,$R22,'Transaction Detail'!$I$2:$I$263)</f>
        <v>370</v>
      </c>
      <c r="O22" s="11" t="n">
        <f aca="false">SUMIF('Transaction Detail'!$A$2:$A$263,$R22,'Transaction Detail'!$K$2:$K$263)</f>
        <v>37</v>
      </c>
      <c r="P22" s="13" t="n">
        <f aca="false">IF(N22=0,"",O22/N22)</f>
        <v>0.1</v>
      </c>
      <c r="Q22" s="2"/>
      <c r="R22" s="2" t="s">
        <v>94</v>
      </c>
    </row>
    <row r="23" customFormat="false" ht="15" hidden="false" customHeight="false" outlineLevel="0" collapsed="false">
      <c r="A23" s="14" t="s">
        <v>22</v>
      </c>
      <c r="B23" s="14" t="s">
        <v>95</v>
      </c>
      <c r="C23" s="14" t="s">
        <v>24</v>
      </c>
      <c r="D23" s="14" t="s">
        <v>25</v>
      </c>
      <c r="E23" s="14" t="s">
        <v>26</v>
      </c>
      <c r="F23" s="14" t="s">
        <v>37</v>
      </c>
      <c r="G23" s="14" t="s">
        <v>96</v>
      </c>
      <c r="H23" s="14" t="s">
        <v>97</v>
      </c>
      <c r="I23" s="15" t="n">
        <v>6</v>
      </c>
      <c r="J23" s="16" t="n">
        <v>1406.35</v>
      </c>
      <c r="K23" s="14" t="s">
        <v>40</v>
      </c>
      <c r="L23" s="15" t="n">
        <f aca="false">COUNTIF('Transaction Detail'!$A$2:$A$263,$R23)</f>
        <v>0</v>
      </c>
      <c r="M23" s="15"/>
      <c r="N23" s="16" t="n">
        <f aca="false">SUMIF('Transaction Detail'!$A$2:$A$263,$R23,'Transaction Detail'!$I$2:$I$263)</f>
        <v>0</v>
      </c>
      <c r="O23" s="16" t="n">
        <f aca="false">SUMIF('Transaction Detail'!$A$2:$A$263,$R23,'Transaction Detail'!$K$2:$K$263)</f>
        <v>0</v>
      </c>
      <c r="P23" s="17" t="str">
        <f aca="false">IF(N23=0,"",O23/N23)</f>
        <v/>
      </c>
      <c r="Q23" s="14" t="s">
        <v>41</v>
      </c>
      <c r="R23" s="2" t="s">
        <v>98</v>
      </c>
    </row>
    <row r="24" customFormat="false" ht="15" hidden="false" customHeight="false" outlineLevel="0" collapsed="false">
      <c r="A24" s="2" t="s">
        <v>22</v>
      </c>
      <c r="B24" s="2" t="s">
        <v>99</v>
      </c>
      <c r="C24" s="2" t="s">
        <v>24</v>
      </c>
      <c r="D24" s="2" t="s">
        <v>25</v>
      </c>
      <c r="E24" s="2" t="s">
        <v>26</v>
      </c>
      <c r="F24" s="2" t="s">
        <v>44</v>
      </c>
      <c r="G24" s="2" t="s">
        <v>100</v>
      </c>
      <c r="H24" s="2" t="s">
        <v>93</v>
      </c>
      <c r="I24" s="10" t="n">
        <v>6</v>
      </c>
      <c r="J24" s="11" t="n">
        <v>1994</v>
      </c>
      <c r="K24" s="2" t="s">
        <v>47</v>
      </c>
      <c r="L24" s="10" t="n">
        <f aca="false">COUNTIF('Transaction Detail'!$A$2:$A$263,$R24)</f>
        <v>1</v>
      </c>
      <c r="M24" s="12" t="n">
        <v>0.1</v>
      </c>
      <c r="N24" s="11" t="n">
        <f aca="false">SUMIF('Transaction Detail'!$A$2:$A$263,$R24,'Transaction Detail'!$I$2:$I$263)</f>
        <v>1994</v>
      </c>
      <c r="O24" s="11" t="n">
        <f aca="false">SUMIF('Transaction Detail'!$A$2:$A$263,$R24,'Transaction Detail'!$K$2:$K$263)</f>
        <v>199.4</v>
      </c>
      <c r="P24" s="13" t="n">
        <f aca="false">IF(N24=0,"",O24/N24)</f>
        <v>0.1</v>
      </c>
      <c r="Q24" s="2"/>
      <c r="R24" s="2" t="s">
        <v>101</v>
      </c>
    </row>
    <row r="25" customFormat="false" ht="15" hidden="false" customHeight="false" outlineLevel="0" collapsed="false">
      <c r="A25" s="18"/>
      <c r="B25" s="18" t="s">
        <v>102</v>
      </c>
      <c r="C25" s="18"/>
      <c r="D25" s="18"/>
      <c r="E25" s="18"/>
      <c r="F25" s="18"/>
      <c r="G25" s="18"/>
      <c r="H25" s="18"/>
      <c r="I25" s="19"/>
      <c r="J25" s="20" t="n">
        <f aca="false">SUM(J7:J24)</f>
        <v>29109.4</v>
      </c>
      <c r="K25" s="18"/>
      <c r="L25" s="19"/>
      <c r="M25" s="19"/>
      <c r="N25" s="20" t="n">
        <f aca="false">SUM(N7:N24)</f>
        <v>19731.29</v>
      </c>
      <c r="O25" s="20" t="n">
        <f aca="false">SUM(O7:O24)</f>
        <v>2088.56</v>
      </c>
      <c r="P25" s="21" t="n">
        <f aca="false">IF(N25=0,"",O25/N25)</f>
        <v>0.105850149686108</v>
      </c>
      <c r="Q25" s="18"/>
      <c r="R25" s="2"/>
    </row>
    <row r="26" customFormat="false" ht="15" hidden="false" customHeight="false" outlineLevel="0" collapsed="false">
      <c r="A26" s="2"/>
      <c r="B26" s="2"/>
      <c r="C26" s="2"/>
      <c r="D26" s="2"/>
      <c r="E26" s="2"/>
      <c r="F26" s="2"/>
      <c r="G26" s="2"/>
      <c r="H26" s="2"/>
      <c r="I26" s="10"/>
      <c r="J26" s="11"/>
      <c r="K26" s="2"/>
      <c r="L26" s="10"/>
      <c r="M26" s="10"/>
      <c r="N26" s="11"/>
      <c r="O26" s="11"/>
      <c r="P26" s="13"/>
      <c r="Q26" s="2"/>
      <c r="R26" s="2"/>
    </row>
    <row r="27" customFormat="false" ht="15" hidden="false" customHeight="false" outlineLevel="0" collapsed="false">
      <c r="A27" s="5" t="s">
        <v>103</v>
      </c>
      <c r="B27" s="6"/>
      <c r="C27" s="6"/>
      <c r="D27" s="6"/>
      <c r="E27" s="6"/>
      <c r="F27" s="6"/>
      <c r="G27" s="6"/>
      <c r="H27" s="6"/>
      <c r="I27" s="7"/>
      <c r="J27" s="8"/>
      <c r="K27" s="6"/>
      <c r="L27" s="7"/>
      <c r="M27" s="7"/>
      <c r="N27" s="8"/>
      <c r="O27" s="8"/>
      <c r="P27" s="9"/>
      <c r="Q27" s="6"/>
      <c r="R27" s="2"/>
    </row>
    <row r="28" customFormat="false" ht="15" hidden="false" customHeight="false" outlineLevel="0" collapsed="false">
      <c r="A28" s="14" t="s">
        <v>22</v>
      </c>
      <c r="B28" s="14" t="s">
        <v>104</v>
      </c>
      <c r="C28" s="14" t="s">
        <v>105</v>
      </c>
      <c r="D28" s="14" t="s">
        <v>106</v>
      </c>
      <c r="E28" s="14" t="s">
        <v>26</v>
      </c>
      <c r="F28" s="14" t="s">
        <v>44</v>
      </c>
      <c r="G28" s="14" t="s">
        <v>107</v>
      </c>
      <c r="H28" s="14" t="s">
        <v>29</v>
      </c>
      <c r="I28" s="15" t="n">
        <v>6</v>
      </c>
      <c r="J28" s="16" t="n">
        <v>940</v>
      </c>
      <c r="K28" s="14" t="s">
        <v>47</v>
      </c>
      <c r="L28" s="15" t="n">
        <f aca="false">COUNTIF('Transaction Detail'!$A$2:$A$263,$R28)</f>
        <v>0</v>
      </c>
      <c r="M28" s="15"/>
      <c r="N28" s="16" t="n">
        <f aca="false">SUMIF('Transaction Detail'!$A$2:$A$263,$R28,'Transaction Detail'!$I$2:$I$263)</f>
        <v>0</v>
      </c>
      <c r="O28" s="16" t="n">
        <f aca="false">SUMIF('Transaction Detail'!$A$2:$A$263,$R28,'Transaction Detail'!$K$2:$K$263)</f>
        <v>0</v>
      </c>
      <c r="P28" s="17" t="str">
        <f aca="false">IF(N28=0,"",O28/N28)</f>
        <v/>
      </c>
      <c r="Q28" s="14" t="s">
        <v>108</v>
      </c>
      <c r="R28" s="2" t="s">
        <v>109</v>
      </c>
    </row>
    <row r="29" customFormat="false" ht="15" hidden="false" customHeight="false" outlineLevel="0" collapsed="false">
      <c r="A29" s="14" t="s">
        <v>22</v>
      </c>
      <c r="B29" s="14" t="s">
        <v>110</v>
      </c>
      <c r="C29" s="14" t="s">
        <v>105</v>
      </c>
      <c r="D29" s="14" t="s">
        <v>106</v>
      </c>
      <c r="E29" s="14" t="s">
        <v>26</v>
      </c>
      <c r="F29" s="14" t="s">
        <v>44</v>
      </c>
      <c r="G29" s="14" t="s">
        <v>111</v>
      </c>
      <c r="H29" s="14" t="s">
        <v>39</v>
      </c>
      <c r="I29" s="15" t="n">
        <v>6</v>
      </c>
      <c r="J29" s="16" t="n">
        <v>1217</v>
      </c>
      <c r="K29" s="14" t="s">
        <v>47</v>
      </c>
      <c r="L29" s="15" t="n">
        <f aca="false">COUNTIF('Transaction Detail'!$A$2:$A$263,$R29)</f>
        <v>0</v>
      </c>
      <c r="M29" s="15"/>
      <c r="N29" s="16" t="n">
        <f aca="false">SUMIF('Transaction Detail'!$A$2:$A$263,$R29,'Transaction Detail'!$I$2:$I$263)</f>
        <v>0</v>
      </c>
      <c r="O29" s="16" t="n">
        <f aca="false">SUMIF('Transaction Detail'!$A$2:$A$263,$R29,'Transaction Detail'!$K$2:$K$263)</f>
        <v>0</v>
      </c>
      <c r="P29" s="17" t="str">
        <f aca="false">IF(N29=0,"",O29/N29)</f>
        <v/>
      </c>
      <c r="Q29" s="14" t="s">
        <v>108</v>
      </c>
      <c r="R29" s="2" t="s">
        <v>112</v>
      </c>
    </row>
    <row r="30" customFormat="false" ht="15" hidden="false" customHeight="false" outlineLevel="0" collapsed="false">
      <c r="A30" s="14" t="s">
        <v>22</v>
      </c>
      <c r="B30" s="14" t="s">
        <v>113</v>
      </c>
      <c r="C30" s="14" t="s">
        <v>105</v>
      </c>
      <c r="D30" s="14" t="s">
        <v>106</v>
      </c>
      <c r="E30" s="14" t="s">
        <v>114</v>
      </c>
      <c r="F30" s="14" t="s">
        <v>44</v>
      </c>
      <c r="G30" s="14" t="s">
        <v>115</v>
      </c>
      <c r="H30" s="14" t="s">
        <v>116</v>
      </c>
      <c r="I30" s="15" t="n">
        <v>12</v>
      </c>
      <c r="J30" s="16" t="n">
        <v>719.12</v>
      </c>
      <c r="K30" s="14" t="s">
        <v>47</v>
      </c>
      <c r="L30" s="15" t="n">
        <f aca="false">COUNTIF('Transaction Detail'!$A$2:$A$263,$R30)</f>
        <v>0</v>
      </c>
      <c r="M30" s="15"/>
      <c r="N30" s="16" t="n">
        <f aca="false">SUMIF('Transaction Detail'!$A$2:$A$263,$R30,'Transaction Detail'!$I$2:$I$263)</f>
        <v>0</v>
      </c>
      <c r="O30" s="16" t="n">
        <f aca="false">SUMIF('Transaction Detail'!$A$2:$A$263,$R30,'Transaction Detail'!$K$2:$K$263)</f>
        <v>0</v>
      </c>
      <c r="P30" s="17" t="str">
        <f aca="false">IF(N30=0,"",O30/N30)</f>
        <v/>
      </c>
      <c r="Q30" s="14" t="s">
        <v>108</v>
      </c>
      <c r="R30" s="2" t="s">
        <v>117</v>
      </c>
    </row>
    <row r="31" customFormat="false" ht="15" hidden="false" customHeight="false" outlineLevel="0" collapsed="false">
      <c r="A31" s="14" t="s">
        <v>22</v>
      </c>
      <c r="B31" s="14" t="s">
        <v>118</v>
      </c>
      <c r="C31" s="14" t="s">
        <v>105</v>
      </c>
      <c r="D31" s="14" t="s">
        <v>106</v>
      </c>
      <c r="E31" s="14" t="s">
        <v>26</v>
      </c>
      <c r="F31" s="14" t="s">
        <v>44</v>
      </c>
      <c r="G31" s="14" t="s">
        <v>119</v>
      </c>
      <c r="H31" s="14" t="s">
        <v>116</v>
      </c>
      <c r="I31" s="15" t="n">
        <v>6</v>
      </c>
      <c r="J31" s="16" t="n">
        <v>1023</v>
      </c>
      <c r="K31" s="14" t="s">
        <v>47</v>
      </c>
      <c r="L31" s="15" t="n">
        <f aca="false">COUNTIF('Transaction Detail'!$A$2:$A$263,$R31)</f>
        <v>0</v>
      </c>
      <c r="M31" s="15"/>
      <c r="N31" s="16" t="n">
        <f aca="false">SUMIF('Transaction Detail'!$A$2:$A$263,$R31,'Transaction Detail'!$I$2:$I$263)</f>
        <v>0</v>
      </c>
      <c r="O31" s="16" t="n">
        <f aca="false">SUMIF('Transaction Detail'!$A$2:$A$263,$R31,'Transaction Detail'!$K$2:$K$263)</f>
        <v>0</v>
      </c>
      <c r="P31" s="17" t="str">
        <f aca="false">IF(N31=0,"",O31/N31)</f>
        <v/>
      </c>
      <c r="Q31" s="14" t="s">
        <v>108</v>
      </c>
      <c r="R31" s="2" t="s">
        <v>120</v>
      </c>
    </row>
    <row r="32" customFormat="false" ht="15" hidden="false" customHeight="false" outlineLevel="0" collapsed="false">
      <c r="A32" s="14" t="s">
        <v>22</v>
      </c>
      <c r="B32" s="14" t="s">
        <v>121</v>
      </c>
      <c r="C32" s="14" t="s">
        <v>105</v>
      </c>
      <c r="D32" s="14" t="s">
        <v>106</v>
      </c>
      <c r="E32" s="14" t="s">
        <v>26</v>
      </c>
      <c r="F32" s="14" t="s">
        <v>44</v>
      </c>
      <c r="G32" s="14" t="s">
        <v>122</v>
      </c>
      <c r="H32" s="14" t="s">
        <v>34</v>
      </c>
      <c r="I32" s="15" t="n">
        <v>6</v>
      </c>
      <c r="J32" s="16" t="n">
        <v>3495</v>
      </c>
      <c r="K32" s="14" t="s">
        <v>47</v>
      </c>
      <c r="L32" s="15" t="n">
        <f aca="false">COUNTIF('Transaction Detail'!$A$2:$A$263,$R32)</f>
        <v>0</v>
      </c>
      <c r="M32" s="15"/>
      <c r="N32" s="16" t="n">
        <f aca="false">SUMIF('Transaction Detail'!$A$2:$A$263,$R32,'Transaction Detail'!$I$2:$I$263)</f>
        <v>0</v>
      </c>
      <c r="O32" s="16" t="n">
        <f aca="false">SUMIF('Transaction Detail'!$A$2:$A$263,$R32,'Transaction Detail'!$K$2:$K$263)</f>
        <v>0</v>
      </c>
      <c r="P32" s="17" t="str">
        <f aca="false">IF(N32=0,"",O32/N32)</f>
        <v/>
      </c>
      <c r="Q32" s="14" t="s">
        <v>108</v>
      </c>
      <c r="R32" s="2" t="s">
        <v>123</v>
      </c>
    </row>
    <row r="33" customFormat="false" ht="15" hidden="false" customHeight="false" outlineLevel="0" collapsed="false">
      <c r="A33" s="2" t="s">
        <v>22</v>
      </c>
      <c r="B33" s="2" t="s">
        <v>124</v>
      </c>
      <c r="C33" s="2" t="s">
        <v>105</v>
      </c>
      <c r="D33" s="2" t="s">
        <v>106</v>
      </c>
      <c r="E33" s="2" t="s">
        <v>26</v>
      </c>
      <c r="F33" s="2" t="s">
        <v>44</v>
      </c>
      <c r="G33" s="2" t="s">
        <v>125</v>
      </c>
      <c r="H33" s="2" t="s">
        <v>46</v>
      </c>
      <c r="I33" s="10" t="n">
        <v>6</v>
      </c>
      <c r="J33" s="11" t="n">
        <v>2276</v>
      </c>
      <c r="K33" s="2" t="s">
        <v>47</v>
      </c>
      <c r="L33" s="10" t="n">
        <f aca="false">COUNTIF('Transaction Detail'!$A$2:$A$263,$R33)</f>
        <v>1</v>
      </c>
      <c r="M33" s="12" t="n">
        <v>0.1</v>
      </c>
      <c r="N33" s="11" t="n">
        <f aca="false">SUMIF('Transaction Detail'!$A$2:$A$263,$R33,'Transaction Detail'!$I$2:$I$263)</f>
        <v>2276</v>
      </c>
      <c r="O33" s="11" t="n">
        <f aca="false">SUMIF('Transaction Detail'!$A$2:$A$263,$R33,'Transaction Detail'!$K$2:$K$263)</f>
        <v>227.6</v>
      </c>
      <c r="P33" s="13" t="n">
        <f aca="false">IF(N33=0,"",O33/N33)</f>
        <v>0.1</v>
      </c>
      <c r="Q33" s="2"/>
      <c r="R33" s="2" t="s">
        <v>126</v>
      </c>
    </row>
    <row r="34" customFormat="false" ht="15" hidden="false" customHeight="false" outlineLevel="0" collapsed="false">
      <c r="A34" s="2" t="s">
        <v>22</v>
      </c>
      <c r="B34" s="2" t="s">
        <v>127</v>
      </c>
      <c r="C34" s="2" t="s">
        <v>105</v>
      </c>
      <c r="D34" s="2" t="s">
        <v>106</v>
      </c>
      <c r="E34" s="2" t="s">
        <v>26</v>
      </c>
      <c r="F34" s="2" t="s">
        <v>44</v>
      </c>
      <c r="G34" s="2" t="s">
        <v>128</v>
      </c>
      <c r="H34" s="2" t="s">
        <v>46</v>
      </c>
      <c r="I34" s="10" t="n">
        <v>6</v>
      </c>
      <c r="J34" s="11" t="n">
        <v>854</v>
      </c>
      <c r="K34" s="2" t="s">
        <v>47</v>
      </c>
      <c r="L34" s="10" t="n">
        <f aca="false">COUNTIF('Transaction Detail'!$A$2:$A$263,$R34)</f>
        <v>1</v>
      </c>
      <c r="M34" s="12" t="n">
        <v>0.1</v>
      </c>
      <c r="N34" s="11" t="n">
        <f aca="false">SUMIF('Transaction Detail'!$A$2:$A$263,$R34,'Transaction Detail'!$I$2:$I$263)</f>
        <v>854</v>
      </c>
      <c r="O34" s="11" t="n">
        <f aca="false">SUMIF('Transaction Detail'!$A$2:$A$263,$R34,'Transaction Detail'!$K$2:$K$263)</f>
        <v>85.4</v>
      </c>
      <c r="P34" s="13" t="n">
        <f aca="false">IF(N34=0,"",O34/N34)</f>
        <v>0.1</v>
      </c>
      <c r="Q34" s="2"/>
      <c r="R34" s="2" t="s">
        <v>129</v>
      </c>
    </row>
    <row r="35" customFormat="false" ht="15" hidden="false" customHeight="false" outlineLevel="0" collapsed="false">
      <c r="A35" s="2" t="s">
        <v>22</v>
      </c>
      <c r="B35" s="2" t="s">
        <v>130</v>
      </c>
      <c r="C35" s="2" t="s">
        <v>105</v>
      </c>
      <c r="D35" s="2" t="s">
        <v>106</v>
      </c>
      <c r="E35" s="2" t="s">
        <v>26</v>
      </c>
      <c r="F35" s="2" t="s">
        <v>44</v>
      </c>
      <c r="G35" s="2" t="s">
        <v>131</v>
      </c>
      <c r="H35" s="2" t="s">
        <v>132</v>
      </c>
      <c r="I35" s="10" t="n">
        <v>6</v>
      </c>
      <c r="J35" s="11" t="n">
        <v>1956</v>
      </c>
      <c r="K35" s="2" t="s">
        <v>47</v>
      </c>
      <c r="L35" s="10" t="n">
        <f aca="false">COUNTIF('Transaction Detail'!$A$2:$A$263,$R35)</f>
        <v>2</v>
      </c>
      <c r="M35" s="12" t="n">
        <v>0.1</v>
      </c>
      <c r="N35" s="11" t="n">
        <f aca="false">SUMIF('Transaction Detail'!$A$2:$A$263,$R35,'Transaction Detail'!$I$2:$I$263)</f>
        <v>1355.77</v>
      </c>
      <c r="O35" s="11" t="n">
        <f aca="false">SUMIF('Transaction Detail'!$A$2:$A$263,$R35,'Transaction Detail'!$K$2:$K$263)</f>
        <v>135.58</v>
      </c>
      <c r="P35" s="13" t="n">
        <f aca="false">IF(N35=0,"",O35/N35)</f>
        <v>0.100002212764702</v>
      </c>
      <c r="Q35" s="2" t="s">
        <v>133</v>
      </c>
      <c r="R35" s="2" t="s">
        <v>134</v>
      </c>
    </row>
    <row r="36" customFormat="false" ht="15" hidden="false" customHeight="false" outlineLevel="0" collapsed="false">
      <c r="A36" s="2" t="s">
        <v>22</v>
      </c>
      <c r="B36" s="2" t="s">
        <v>135</v>
      </c>
      <c r="C36" s="2" t="s">
        <v>105</v>
      </c>
      <c r="D36" s="2" t="s">
        <v>106</v>
      </c>
      <c r="E36" s="2" t="s">
        <v>26</v>
      </c>
      <c r="F36" s="2" t="s">
        <v>44</v>
      </c>
      <c r="G36" s="2" t="s">
        <v>136</v>
      </c>
      <c r="H36" s="2" t="s">
        <v>51</v>
      </c>
      <c r="I36" s="10" t="n">
        <v>6</v>
      </c>
      <c r="J36" s="11" t="n">
        <v>2305</v>
      </c>
      <c r="K36" s="2" t="s">
        <v>47</v>
      </c>
      <c r="L36" s="10" t="n">
        <f aca="false">COUNTIF('Transaction Detail'!$A$2:$A$263,$R36)</f>
        <v>1</v>
      </c>
      <c r="M36" s="12" t="n">
        <v>0.1</v>
      </c>
      <c r="N36" s="11" t="n">
        <f aca="false">SUMIF('Transaction Detail'!$A$2:$A$263,$R36,'Transaction Detail'!$I$2:$I$263)</f>
        <v>2305</v>
      </c>
      <c r="O36" s="11" t="n">
        <f aca="false">SUMIF('Transaction Detail'!$A$2:$A$263,$R36,'Transaction Detail'!$K$2:$K$263)</f>
        <v>230.5</v>
      </c>
      <c r="P36" s="13" t="n">
        <f aca="false">IF(N36=0,"",O36/N36)</f>
        <v>0.1</v>
      </c>
      <c r="Q36" s="2"/>
      <c r="R36" s="2" t="s">
        <v>137</v>
      </c>
    </row>
    <row r="37" customFormat="false" ht="15" hidden="false" customHeight="false" outlineLevel="0" collapsed="false">
      <c r="A37" s="14" t="s">
        <v>22</v>
      </c>
      <c r="B37" s="14" t="s">
        <v>138</v>
      </c>
      <c r="C37" s="14" t="s">
        <v>105</v>
      </c>
      <c r="D37" s="14" t="s">
        <v>106</v>
      </c>
      <c r="E37" s="14" t="s">
        <v>114</v>
      </c>
      <c r="F37" s="14" t="s">
        <v>44</v>
      </c>
      <c r="G37" s="14" t="s">
        <v>139</v>
      </c>
      <c r="H37" s="14" t="s">
        <v>140</v>
      </c>
      <c r="I37" s="15" t="n">
        <v>12</v>
      </c>
      <c r="J37" s="16" t="n">
        <v>688.82</v>
      </c>
      <c r="K37" s="14" t="s">
        <v>47</v>
      </c>
      <c r="L37" s="15" t="n">
        <f aca="false">COUNTIF('Transaction Detail'!$A$2:$A$263,$R37)</f>
        <v>0</v>
      </c>
      <c r="M37" s="15"/>
      <c r="N37" s="16" t="n">
        <f aca="false">SUMIF('Transaction Detail'!$A$2:$A$263,$R37,'Transaction Detail'!$I$2:$I$263)</f>
        <v>0</v>
      </c>
      <c r="O37" s="16" t="n">
        <f aca="false">SUMIF('Transaction Detail'!$A$2:$A$263,$R37,'Transaction Detail'!$K$2:$K$263)</f>
        <v>0</v>
      </c>
      <c r="P37" s="17" t="str">
        <f aca="false">IF(N37=0,"",O37/N37)</f>
        <v/>
      </c>
      <c r="Q37" s="14" t="s">
        <v>108</v>
      </c>
      <c r="R37" s="2" t="s">
        <v>141</v>
      </c>
    </row>
    <row r="38" customFormat="false" ht="15" hidden="false" customHeight="false" outlineLevel="0" collapsed="false">
      <c r="A38" s="2" t="s">
        <v>22</v>
      </c>
      <c r="B38" s="2" t="s">
        <v>142</v>
      </c>
      <c r="C38" s="2" t="s">
        <v>105</v>
      </c>
      <c r="D38" s="2" t="s">
        <v>106</v>
      </c>
      <c r="E38" s="2" t="s">
        <v>26</v>
      </c>
      <c r="F38" s="2" t="s">
        <v>44</v>
      </c>
      <c r="G38" s="2" t="s">
        <v>143</v>
      </c>
      <c r="H38" s="2" t="s">
        <v>144</v>
      </c>
      <c r="I38" s="10" t="n">
        <v>6</v>
      </c>
      <c r="J38" s="11" t="n">
        <v>2194</v>
      </c>
      <c r="K38" s="2" t="s">
        <v>47</v>
      </c>
      <c r="L38" s="10" t="n">
        <f aca="false">COUNTIF('Transaction Detail'!$A$2:$A$263,$R38)</f>
        <v>1</v>
      </c>
      <c r="M38" s="12" t="n">
        <v>0.1</v>
      </c>
      <c r="N38" s="11" t="n">
        <f aca="false">SUMIF('Transaction Detail'!$A$2:$A$263,$R38,'Transaction Detail'!$I$2:$I$263)</f>
        <v>2194</v>
      </c>
      <c r="O38" s="11" t="n">
        <f aca="false">SUMIF('Transaction Detail'!$A$2:$A$263,$R38,'Transaction Detail'!$K$2:$K$263)</f>
        <v>219.4</v>
      </c>
      <c r="P38" s="13" t="n">
        <f aca="false">IF(N38=0,"",O38/N38)</f>
        <v>0.1</v>
      </c>
      <c r="Q38" s="2"/>
      <c r="R38" s="2" t="s">
        <v>145</v>
      </c>
    </row>
    <row r="39" customFormat="false" ht="15" hidden="false" customHeight="false" outlineLevel="0" collapsed="false">
      <c r="A39" s="2" t="s">
        <v>22</v>
      </c>
      <c r="B39" s="2" t="s">
        <v>146</v>
      </c>
      <c r="C39" s="2" t="s">
        <v>105</v>
      </c>
      <c r="D39" s="2" t="s">
        <v>106</v>
      </c>
      <c r="E39" s="2" t="s">
        <v>26</v>
      </c>
      <c r="F39" s="2" t="s">
        <v>44</v>
      </c>
      <c r="G39" s="2" t="s">
        <v>147</v>
      </c>
      <c r="H39" s="2" t="s">
        <v>148</v>
      </c>
      <c r="I39" s="10" t="n">
        <v>6</v>
      </c>
      <c r="J39" s="11" t="n">
        <v>1906</v>
      </c>
      <c r="K39" s="2" t="s">
        <v>47</v>
      </c>
      <c r="L39" s="10" t="n">
        <f aca="false">COUNTIF('Transaction Detail'!$A$2:$A$263,$R39)</f>
        <v>1</v>
      </c>
      <c r="M39" s="12" t="n">
        <v>0.1</v>
      </c>
      <c r="N39" s="11" t="n">
        <f aca="false">SUMIF('Transaction Detail'!$A$2:$A$263,$R39,'Transaction Detail'!$I$2:$I$263)</f>
        <v>1906</v>
      </c>
      <c r="O39" s="11" t="n">
        <f aca="false">SUMIF('Transaction Detail'!$A$2:$A$263,$R39,'Transaction Detail'!$K$2:$K$263)</f>
        <v>190.6</v>
      </c>
      <c r="P39" s="13" t="n">
        <f aca="false">IF(N39=0,"",O39/N39)</f>
        <v>0.1</v>
      </c>
      <c r="Q39" s="2"/>
      <c r="R39" s="2" t="s">
        <v>149</v>
      </c>
    </row>
    <row r="40" customFormat="false" ht="15" hidden="false" customHeight="false" outlineLevel="0" collapsed="false">
      <c r="A40" s="2" t="s">
        <v>22</v>
      </c>
      <c r="B40" s="2" t="s">
        <v>150</v>
      </c>
      <c r="C40" s="2" t="s">
        <v>105</v>
      </c>
      <c r="D40" s="2" t="s">
        <v>106</v>
      </c>
      <c r="E40" s="2" t="s">
        <v>26</v>
      </c>
      <c r="F40" s="2" t="s">
        <v>44</v>
      </c>
      <c r="G40" s="2" t="s">
        <v>151</v>
      </c>
      <c r="H40" s="2" t="s">
        <v>60</v>
      </c>
      <c r="I40" s="10" t="n">
        <v>6</v>
      </c>
      <c r="J40" s="11" t="n">
        <v>2083</v>
      </c>
      <c r="K40" s="2" t="s">
        <v>47</v>
      </c>
      <c r="L40" s="10" t="n">
        <f aca="false">COUNTIF('Transaction Detail'!$A$2:$A$263,$R40)</f>
        <v>1</v>
      </c>
      <c r="M40" s="12" t="n">
        <v>0.1</v>
      </c>
      <c r="N40" s="11" t="n">
        <f aca="false">SUMIF('Transaction Detail'!$A$2:$A$263,$R40,'Transaction Detail'!$I$2:$I$263)</f>
        <v>2083</v>
      </c>
      <c r="O40" s="11" t="n">
        <f aca="false">SUMIF('Transaction Detail'!$A$2:$A$263,$R40,'Transaction Detail'!$K$2:$K$263)</f>
        <v>208.3</v>
      </c>
      <c r="P40" s="13" t="n">
        <f aca="false">IF(N40=0,"",O40/N40)</f>
        <v>0.1</v>
      </c>
      <c r="Q40" s="2"/>
      <c r="R40" s="2" t="s">
        <v>152</v>
      </c>
    </row>
    <row r="41" customFormat="false" ht="15" hidden="false" customHeight="false" outlineLevel="0" collapsed="false">
      <c r="A41" s="2" t="s">
        <v>22</v>
      </c>
      <c r="B41" s="2" t="s">
        <v>153</v>
      </c>
      <c r="C41" s="2" t="s">
        <v>105</v>
      </c>
      <c r="D41" s="2" t="s">
        <v>106</v>
      </c>
      <c r="E41" s="2" t="s">
        <v>26</v>
      </c>
      <c r="F41" s="2" t="s">
        <v>44</v>
      </c>
      <c r="G41" s="2" t="s">
        <v>154</v>
      </c>
      <c r="H41" s="2" t="s">
        <v>60</v>
      </c>
      <c r="I41" s="10" t="n">
        <v>6</v>
      </c>
      <c r="J41" s="11" t="n">
        <v>1205</v>
      </c>
      <c r="K41" s="2" t="s">
        <v>47</v>
      </c>
      <c r="L41" s="10" t="n">
        <f aca="false">COUNTIF('Transaction Detail'!$A$2:$A$263,$R41)</f>
        <v>1</v>
      </c>
      <c r="M41" s="12" t="n">
        <v>0.1</v>
      </c>
      <c r="N41" s="11" t="n">
        <f aca="false">SUMIF('Transaction Detail'!$A$2:$A$263,$R41,'Transaction Detail'!$I$2:$I$263)</f>
        <v>1205</v>
      </c>
      <c r="O41" s="11" t="n">
        <f aca="false">SUMIF('Transaction Detail'!$A$2:$A$263,$R41,'Transaction Detail'!$K$2:$K$263)</f>
        <v>120.5</v>
      </c>
      <c r="P41" s="13" t="n">
        <f aca="false">IF(N41=0,"",O41/N41)</f>
        <v>0.1</v>
      </c>
      <c r="Q41" s="2"/>
      <c r="R41" s="2" t="s">
        <v>155</v>
      </c>
    </row>
    <row r="42" customFormat="false" ht="15" hidden="false" customHeight="false" outlineLevel="0" collapsed="false">
      <c r="A42" s="2" t="s">
        <v>22</v>
      </c>
      <c r="B42" s="2" t="s">
        <v>156</v>
      </c>
      <c r="C42" s="2" t="s">
        <v>105</v>
      </c>
      <c r="D42" s="2" t="s">
        <v>106</v>
      </c>
      <c r="E42" s="2" t="s">
        <v>26</v>
      </c>
      <c r="F42" s="2" t="s">
        <v>44</v>
      </c>
      <c r="G42" s="2" t="s">
        <v>157</v>
      </c>
      <c r="H42" s="2" t="s">
        <v>158</v>
      </c>
      <c r="I42" s="10" t="n">
        <v>6</v>
      </c>
      <c r="J42" s="11" t="n">
        <v>1278</v>
      </c>
      <c r="K42" s="2" t="s">
        <v>47</v>
      </c>
      <c r="L42" s="10" t="n">
        <f aca="false">COUNTIF('Transaction Detail'!$A$2:$A$263,$R42)</f>
        <v>1</v>
      </c>
      <c r="M42" s="12" t="n">
        <v>0.1</v>
      </c>
      <c r="N42" s="11" t="n">
        <f aca="false">SUMIF('Transaction Detail'!$A$2:$A$263,$R42,'Transaction Detail'!$I$2:$I$263)</f>
        <v>1278</v>
      </c>
      <c r="O42" s="11" t="n">
        <f aca="false">SUMIF('Transaction Detail'!$A$2:$A$263,$R42,'Transaction Detail'!$K$2:$K$263)</f>
        <v>127.8</v>
      </c>
      <c r="P42" s="13" t="n">
        <f aca="false">IF(N42=0,"",O42/N42)</f>
        <v>0.1</v>
      </c>
      <c r="Q42" s="2"/>
      <c r="R42" s="2" t="s">
        <v>159</v>
      </c>
    </row>
    <row r="43" customFormat="false" ht="15" hidden="false" customHeight="false" outlineLevel="0" collapsed="false">
      <c r="A43" s="2" t="s">
        <v>22</v>
      </c>
      <c r="B43" s="2" t="s">
        <v>160</v>
      </c>
      <c r="C43" s="2" t="s">
        <v>105</v>
      </c>
      <c r="D43" s="2" t="s">
        <v>106</v>
      </c>
      <c r="E43" s="2" t="s">
        <v>26</v>
      </c>
      <c r="F43" s="2" t="s">
        <v>44</v>
      </c>
      <c r="G43" s="2" t="s">
        <v>161</v>
      </c>
      <c r="H43" s="2" t="s">
        <v>70</v>
      </c>
      <c r="I43" s="10" t="n">
        <v>6</v>
      </c>
      <c r="J43" s="11" t="n">
        <v>539</v>
      </c>
      <c r="K43" s="2" t="s">
        <v>47</v>
      </c>
      <c r="L43" s="10" t="n">
        <f aca="false">COUNTIF('Transaction Detail'!$A$2:$A$263,$R43)</f>
        <v>1</v>
      </c>
      <c r="M43" s="12" t="n">
        <v>0.1</v>
      </c>
      <c r="N43" s="11" t="n">
        <f aca="false">SUMIF('Transaction Detail'!$A$2:$A$263,$R43,'Transaction Detail'!$I$2:$I$263)</f>
        <v>539</v>
      </c>
      <c r="O43" s="11" t="n">
        <f aca="false">SUMIF('Transaction Detail'!$A$2:$A$263,$R43,'Transaction Detail'!$K$2:$K$263)</f>
        <v>53.9</v>
      </c>
      <c r="P43" s="13" t="n">
        <f aca="false">IF(N43=0,"",O43/N43)</f>
        <v>0.1</v>
      </c>
      <c r="Q43" s="2"/>
      <c r="R43" s="2" t="s">
        <v>162</v>
      </c>
    </row>
    <row r="44" customFormat="false" ht="15" hidden="false" customHeight="false" outlineLevel="0" collapsed="false">
      <c r="A44" s="2" t="s">
        <v>22</v>
      </c>
      <c r="B44" s="2" t="s">
        <v>163</v>
      </c>
      <c r="C44" s="2" t="s">
        <v>105</v>
      </c>
      <c r="D44" s="2" t="s">
        <v>106</v>
      </c>
      <c r="E44" s="2" t="s">
        <v>26</v>
      </c>
      <c r="F44" s="2" t="s">
        <v>44</v>
      </c>
      <c r="G44" s="2" t="s">
        <v>164</v>
      </c>
      <c r="H44" s="2" t="s">
        <v>165</v>
      </c>
      <c r="I44" s="10" t="n">
        <v>6</v>
      </c>
      <c r="J44" s="11" t="n">
        <v>945</v>
      </c>
      <c r="K44" s="2" t="s">
        <v>47</v>
      </c>
      <c r="L44" s="10" t="n">
        <f aca="false">COUNTIF('Transaction Detail'!$A$2:$A$263,$R44)</f>
        <v>1</v>
      </c>
      <c r="M44" s="12" t="n">
        <v>0.1</v>
      </c>
      <c r="N44" s="11" t="n">
        <f aca="false">SUMIF('Transaction Detail'!$A$2:$A$263,$R44,'Transaction Detail'!$I$2:$I$263)</f>
        <v>945</v>
      </c>
      <c r="O44" s="11" t="n">
        <f aca="false">SUMIF('Transaction Detail'!$A$2:$A$263,$R44,'Transaction Detail'!$K$2:$K$263)</f>
        <v>94.5</v>
      </c>
      <c r="P44" s="13" t="n">
        <f aca="false">IF(N44=0,"",O44/N44)</f>
        <v>0.1</v>
      </c>
      <c r="Q44" s="2"/>
      <c r="R44" s="2" t="s">
        <v>166</v>
      </c>
    </row>
    <row r="45" customFormat="false" ht="15" hidden="false" customHeight="false" outlineLevel="0" collapsed="false">
      <c r="A45" s="2" t="s">
        <v>22</v>
      </c>
      <c r="B45" s="2" t="s">
        <v>167</v>
      </c>
      <c r="C45" s="2" t="s">
        <v>105</v>
      </c>
      <c r="D45" s="2" t="s">
        <v>106</v>
      </c>
      <c r="E45" s="2" t="s">
        <v>26</v>
      </c>
      <c r="F45" s="2" t="s">
        <v>44</v>
      </c>
      <c r="G45" s="2" t="s">
        <v>168</v>
      </c>
      <c r="H45" s="2" t="s">
        <v>165</v>
      </c>
      <c r="I45" s="10" t="n">
        <v>6</v>
      </c>
      <c r="J45" s="11" t="n">
        <v>1213</v>
      </c>
      <c r="K45" s="2" t="s">
        <v>47</v>
      </c>
      <c r="L45" s="10" t="n">
        <f aca="false">COUNTIF('Transaction Detail'!$A$2:$A$263,$R45)</f>
        <v>1</v>
      </c>
      <c r="M45" s="12" t="n">
        <v>0.1</v>
      </c>
      <c r="N45" s="11" t="n">
        <f aca="false">SUMIF('Transaction Detail'!$A$2:$A$263,$R45,'Transaction Detail'!$I$2:$I$263)</f>
        <v>1213</v>
      </c>
      <c r="O45" s="11" t="n">
        <f aca="false">SUMIF('Transaction Detail'!$A$2:$A$263,$R45,'Transaction Detail'!$K$2:$K$263)</f>
        <v>121.3</v>
      </c>
      <c r="P45" s="13" t="n">
        <f aca="false">IF(N45=0,"",O45/N45)</f>
        <v>0.1</v>
      </c>
      <c r="Q45" s="2"/>
      <c r="R45" s="2" t="s">
        <v>169</v>
      </c>
    </row>
    <row r="46" customFormat="false" ht="15" hidden="false" customHeight="false" outlineLevel="0" collapsed="false">
      <c r="A46" s="2" t="s">
        <v>22</v>
      </c>
      <c r="B46" s="2" t="s">
        <v>170</v>
      </c>
      <c r="C46" s="2" t="s">
        <v>105</v>
      </c>
      <c r="D46" s="2" t="s">
        <v>106</v>
      </c>
      <c r="E46" s="2" t="s">
        <v>26</v>
      </c>
      <c r="F46" s="2" t="s">
        <v>44</v>
      </c>
      <c r="G46" s="2" t="s">
        <v>171</v>
      </c>
      <c r="H46" s="2" t="s">
        <v>172</v>
      </c>
      <c r="I46" s="10" t="n">
        <v>6</v>
      </c>
      <c r="J46" s="11" t="n">
        <v>794</v>
      </c>
      <c r="K46" s="2" t="s">
        <v>47</v>
      </c>
      <c r="L46" s="10" t="n">
        <f aca="false">COUNTIF('Transaction Detail'!$A$2:$A$263,$R46)</f>
        <v>1</v>
      </c>
      <c r="M46" s="12" t="n">
        <v>0.1</v>
      </c>
      <c r="N46" s="11" t="n">
        <f aca="false">SUMIF('Transaction Detail'!$A$2:$A$263,$R46,'Transaction Detail'!$I$2:$I$263)</f>
        <v>794</v>
      </c>
      <c r="O46" s="11" t="n">
        <f aca="false">SUMIF('Transaction Detail'!$A$2:$A$263,$R46,'Transaction Detail'!$K$2:$K$263)</f>
        <v>79.4</v>
      </c>
      <c r="P46" s="13" t="n">
        <f aca="false">IF(N46=0,"",O46/N46)</f>
        <v>0.1</v>
      </c>
      <c r="Q46" s="2"/>
      <c r="R46" s="2" t="s">
        <v>173</v>
      </c>
    </row>
    <row r="47" customFormat="false" ht="15" hidden="false" customHeight="false" outlineLevel="0" collapsed="false">
      <c r="A47" s="2" t="s">
        <v>22</v>
      </c>
      <c r="B47" s="2" t="s">
        <v>174</v>
      </c>
      <c r="C47" s="2" t="s">
        <v>105</v>
      </c>
      <c r="D47" s="2" t="s">
        <v>106</v>
      </c>
      <c r="E47" s="2" t="s">
        <v>26</v>
      </c>
      <c r="F47" s="2" t="s">
        <v>44</v>
      </c>
      <c r="G47" s="2" t="s">
        <v>175</v>
      </c>
      <c r="H47" s="2" t="s">
        <v>78</v>
      </c>
      <c r="I47" s="10" t="n">
        <v>6</v>
      </c>
      <c r="J47" s="11" t="n">
        <v>947</v>
      </c>
      <c r="K47" s="2" t="s">
        <v>47</v>
      </c>
      <c r="L47" s="10" t="n">
        <f aca="false">COUNTIF('Transaction Detail'!$A$2:$A$263,$R47)</f>
        <v>1</v>
      </c>
      <c r="M47" s="12" t="n">
        <v>0.1</v>
      </c>
      <c r="N47" s="11" t="n">
        <f aca="false">SUMIF('Transaction Detail'!$A$2:$A$263,$R47,'Transaction Detail'!$I$2:$I$263)</f>
        <v>947</v>
      </c>
      <c r="O47" s="11" t="n">
        <f aca="false">SUMIF('Transaction Detail'!$A$2:$A$263,$R47,'Transaction Detail'!$K$2:$K$263)</f>
        <v>94.7</v>
      </c>
      <c r="P47" s="13" t="n">
        <f aca="false">IF(N47=0,"",O47/N47)</f>
        <v>0.1</v>
      </c>
      <c r="Q47" s="2"/>
      <c r="R47" s="2" t="s">
        <v>176</v>
      </c>
    </row>
    <row r="48" customFormat="false" ht="15" hidden="false" customHeight="false" outlineLevel="0" collapsed="false">
      <c r="A48" s="2" t="s">
        <v>22</v>
      </c>
      <c r="B48" s="2" t="s">
        <v>177</v>
      </c>
      <c r="C48" s="2" t="s">
        <v>105</v>
      </c>
      <c r="D48" s="2" t="s">
        <v>106</v>
      </c>
      <c r="E48" s="2" t="s">
        <v>178</v>
      </c>
      <c r="F48" s="2" t="s">
        <v>44</v>
      </c>
      <c r="G48" s="2" t="s">
        <v>179</v>
      </c>
      <c r="H48" s="2" t="s">
        <v>180</v>
      </c>
      <c r="I48" s="10" t="n">
        <v>12</v>
      </c>
      <c r="J48" s="11" t="n">
        <v>949</v>
      </c>
      <c r="K48" s="2" t="s">
        <v>47</v>
      </c>
      <c r="L48" s="10" t="n">
        <f aca="false">COUNTIF('Transaction Detail'!$A$2:$A$263,$R48)</f>
        <v>1</v>
      </c>
      <c r="M48" s="12" t="n">
        <v>0.1</v>
      </c>
      <c r="N48" s="11" t="n">
        <f aca="false">SUMIF('Transaction Detail'!$A$2:$A$263,$R48,'Transaction Detail'!$I$2:$I$263)</f>
        <v>949</v>
      </c>
      <c r="O48" s="11" t="n">
        <f aca="false">SUMIF('Transaction Detail'!$A$2:$A$263,$R48,'Transaction Detail'!$K$2:$K$263)</f>
        <v>94.9</v>
      </c>
      <c r="P48" s="13" t="n">
        <f aca="false">IF(N48=0,"",O48/N48)</f>
        <v>0.1</v>
      </c>
      <c r="Q48" s="2"/>
      <c r="R48" s="2" t="s">
        <v>181</v>
      </c>
    </row>
    <row r="49" customFormat="false" ht="15" hidden="false" customHeight="false" outlineLevel="0" collapsed="false">
      <c r="A49" s="2" t="s">
        <v>22</v>
      </c>
      <c r="B49" s="2" t="s">
        <v>182</v>
      </c>
      <c r="C49" s="2" t="s">
        <v>105</v>
      </c>
      <c r="D49" s="2" t="s">
        <v>106</v>
      </c>
      <c r="E49" s="2" t="s">
        <v>26</v>
      </c>
      <c r="F49" s="2" t="s">
        <v>44</v>
      </c>
      <c r="G49" s="2" t="s">
        <v>183</v>
      </c>
      <c r="H49" s="2" t="s">
        <v>184</v>
      </c>
      <c r="I49" s="10" t="n">
        <v>6</v>
      </c>
      <c r="J49" s="11" t="n">
        <v>626</v>
      </c>
      <c r="K49" s="2" t="s">
        <v>47</v>
      </c>
      <c r="L49" s="10" t="n">
        <f aca="false">COUNTIF('Transaction Detail'!$A$2:$A$263,$R49)</f>
        <v>1</v>
      </c>
      <c r="M49" s="12" t="n">
        <v>0.1</v>
      </c>
      <c r="N49" s="11" t="n">
        <f aca="false">SUMIF('Transaction Detail'!$A$2:$A$263,$R49,'Transaction Detail'!$I$2:$I$263)</f>
        <v>619</v>
      </c>
      <c r="O49" s="11" t="n">
        <f aca="false">SUMIF('Transaction Detail'!$A$2:$A$263,$R49,'Transaction Detail'!$K$2:$K$263)</f>
        <v>61.9</v>
      </c>
      <c r="P49" s="13" t="n">
        <f aca="false">IF(N49=0,"",O49/N49)</f>
        <v>0.1</v>
      </c>
      <c r="Q49" s="2"/>
      <c r="R49" s="2" t="s">
        <v>185</v>
      </c>
    </row>
    <row r="50" customFormat="false" ht="15" hidden="false" customHeight="false" outlineLevel="0" collapsed="false">
      <c r="A50" s="2" t="s">
        <v>22</v>
      </c>
      <c r="B50" s="2" t="s">
        <v>186</v>
      </c>
      <c r="C50" s="2" t="s">
        <v>105</v>
      </c>
      <c r="D50" s="2" t="s">
        <v>106</v>
      </c>
      <c r="E50" s="2" t="s">
        <v>26</v>
      </c>
      <c r="F50" s="2" t="s">
        <v>44</v>
      </c>
      <c r="G50" s="2" t="s">
        <v>187</v>
      </c>
      <c r="H50" s="2" t="s">
        <v>188</v>
      </c>
      <c r="I50" s="10" t="n">
        <v>6</v>
      </c>
      <c r="J50" s="11" t="n">
        <v>1907</v>
      </c>
      <c r="K50" s="2" t="s">
        <v>47</v>
      </c>
      <c r="L50" s="10" t="n">
        <f aca="false">COUNTIF('Transaction Detail'!$A$2:$A$263,$R50)</f>
        <v>1</v>
      </c>
      <c r="M50" s="12" t="n">
        <v>0.1</v>
      </c>
      <c r="N50" s="11" t="n">
        <f aca="false">SUMIF('Transaction Detail'!$A$2:$A$263,$R50,'Transaction Detail'!$I$2:$I$263)</f>
        <v>1907</v>
      </c>
      <c r="O50" s="11" t="n">
        <f aca="false">SUMIF('Transaction Detail'!$A$2:$A$263,$R50,'Transaction Detail'!$K$2:$K$263)</f>
        <v>190.7</v>
      </c>
      <c r="P50" s="13" t="n">
        <f aca="false">IF(N50=0,"",O50/N50)</f>
        <v>0.1</v>
      </c>
      <c r="Q50" s="2"/>
      <c r="R50" s="2" t="s">
        <v>189</v>
      </c>
    </row>
    <row r="51" customFormat="false" ht="15" hidden="false" customHeight="false" outlineLevel="0" collapsed="false">
      <c r="A51" s="2" t="s">
        <v>22</v>
      </c>
      <c r="B51" s="2" t="s">
        <v>190</v>
      </c>
      <c r="C51" s="2" t="s">
        <v>105</v>
      </c>
      <c r="D51" s="2" t="s">
        <v>106</v>
      </c>
      <c r="E51" s="2" t="s">
        <v>26</v>
      </c>
      <c r="F51" s="2" t="s">
        <v>44</v>
      </c>
      <c r="G51" s="2" t="s">
        <v>191</v>
      </c>
      <c r="H51" s="2" t="s">
        <v>188</v>
      </c>
      <c r="I51" s="10" t="n">
        <v>6</v>
      </c>
      <c r="J51" s="11" t="n">
        <v>564</v>
      </c>
      <c r="K51" s="2" t="s">
        <v>47</v>
      </c>
      <c r="L51" s="10" t="n">
        <f aca="false">COUNTIF('Transaction Detail'!$A$2:$A$263,$R51)</f>
        <v>1</v>
      </c>
      <c r="M51" s="12" t="n">
        <v>0.1</v>
      </c>
      <c r="N51" s="11" t="n">
        <f aca="false">SUMIF('Transaction Detail'!$A$2:$A$263,$R51,'Transaction Detail'!$I$2:$I$263)</f>
        <v>564</v>
      </c>
      <c r="O51" s="11" t="n">
        <f aca="false">SUMIF('Transaction Detail'!$A$2:$A$263,$R51,'Transaction Detail'!$K$2:$K$263)</f>
        <v>56.4</v>
      </c>
      <c r="P51" s="13" t="n">
        <f aca="false">IF(N51=0,"",O51/N51)</f>
        <v>0.1</v>
      </c>
      <c r="Q51" s="2"/>
      <c r="R51" s="2" t="s">
        <v>192</v>
      </c>
    </row>
    <row r="52" customFormat="false" ht="15" hidden="false" customHeight="false" outlineLevel="0" collapsed="false">
      <c r="A52" s="2" t="s">
        <v>22</v>
      </c>
      <c r="B52" s="2" t="s">
        <v>130</v>
      </c>
      <c r="C52" s="2" t="s">
        <v>105</v>
      </c>
      <c r="D52" s="2" t="s">
        <v>106</v>
      </c>
      <c r="E52" s="2" t="s">
        <v>193</v>
      </c>
      <c r="F52" s="2" t="s">
        <v>44</v>
      </c>
      <c r="G52" s="2" t="s">
        <v>194</v>
      </c>
      <c r="H52" s="2" t="s">
        <v>188</v>
      </c>
      <c r="I52" s="10" t="n">
        <v>12</v>
      </c>
      <c r="J52" s="11" t="n">
        <v>684.61</v>
      </c>
      <c r="K52" s="2" t="s">
        <v>47</v>
      </c>
      <c r="L52" s="10" t="n">
        <f aca="false">COUNTIF('Transaction Detail'!$A$2:$A$263,$R52)</f>
        <v>1</v>
      </c>
      <c r="M52" s="12" t="n">
        <v>0.1</v>
      </c>
      <c r="N52" s="11" t="n">
        <f aca="false">SUMIF('Transaction Detail'!$A$2:$A$263,$R52,'Transaction Detail'!$I$2:$I$263)</f>
        <v>678</v>
      </c>
      <c r="O52" s="11" t="n">
        <f aca="false">SUMIF('Transaction Detail'!$A$2:$A$263,$R52,'Transaction Detail'!$K$2:$K$263)</f>
        <v>67.8</v>
      </c>
      <c r="P52" s="13" t="n">
        <f aca="false">IF(N52=0,"",O52/N52)</f>
        <v>0.1</v>
      </c>
      <c r="Q52" s="2"/>
      <c r="R52" s="2" t="s">
        <v>195</v>
      </c>
    </row>
    <row r="53" customFormat="false" ht="15" hidden="false" customHeight="false" outlineLevel="0" collapsed="false">
      <c r="A53" s="2" t="s">
        <v>22</v>
      </c>
      <c r="B53" s="2" t="s">
        <v>196</v>
      </c>
      <c r="C53" s="2" t="s">
        <v>105</v>
      </c>
      <c r="D53" s="2" t="s">
        <v>106</v>
      </c>
      <c r="E53" s="2" t="s">
        <v>26</v>
      </c>
      <c r="F53" s="2" t="s">
        <v>44</v>
      </c>
      <c r="G53" s="2" t="s">
        <v>197</v>
      </c>
      <c r="H53" s="2" t="s">
        <v>198</v>
      </c>
      <c r="I53" s="10" t="n">
        <v>6</v>
      </c>
      <c r="J53" s="11" t="n">
        <v>1443</v>
      </c>
      <c r="K53" s="2" t="s">
        <v>47</v>
      </c>
      <c r="L53" s="10" t="n">
        <f aca="false">COUNTIF('Transaction Detail'!$A$2:$A$263,$R53)</f>
        <v>1</v>
      </c>
      <c r="M53" s="12" t="n">
        <v>0.1</v>
      </c>
      <c r="N53" s="11" t="n">
        <f aca="false">SUMIF('Transaction Detail'!$A$2:$A$263,$R53,'Transaction Detail'!$I$2:$I$263)</f>
        <v>1443</v>
      </c>
      <c r="O53" s="11" t="n">
        <f aca="false">SUMIF('Transaction Detail'!$A$2:$A$263,$R53,'Transaction Detail'!$K$2:$K$263)</f>
        <v>144.3</v>
      </c>
      <c r="P53" s="13" t="n">
        <f aca="false">IF(N53=0,"",O53/N53)</f>
        <v>0.1</v>
      </c>
      <c r="Q53" s="2"/>
      <c r="R53" s="2" t="s">
        <v>199</v>
      </c>
    </row>
    <row r="54" customFormat="false" ht="15" hidden="false" customHeight="false" outlineLevel="0" collapsed="false">
      <c r="A54" s="2" t="s">
        <v>22</v>
      </c>
      <c r="B54" s="2" t="s">
        <v>200</v>
      </c>
      <c r="C54" s="2" t="s">
        <v>105</v>
      </c>
      <c r="D54" s="2" t="s">
        <v>106</v>
      </c>
      <c r="E54" s="2" t="s">
        <v>26</v>
      </c>
      <c r="F54" s="2" t="s">
        <v>44</v>
      </c>
      <c r="G54" s="2" t="s">
        <v>201</v>
      </c>
      <c r="H54" s="2" t="s">
        <v>198</v>
      </c>
      <c r="I54" s="10" t="n">
        <v>6</v>
      </c>
      <c r="J54" s="11" t="n">
        <v>948</v>
      </c>
      <c r="K54" s="2" t="s">
        <v>47</v>
      </c>
      <c r="L54" s="10" t="n">
        <f aca="false">COUNTIF('Transaction Detail'!$A$2:$A$263,$R54)</f>
        <v>1</v>
      </c>
      <c r="M54" s="12" t="n">
        <v>0.1</v>
      </c>
      <c r="N54" s="11" t="n">
        <f aca="false">SUMIF('Transaction Detail'!$A$2:$A$263,$R54,'Transaction Detail'!$I$2:$I$263)</f>
        <v>948</v>
      </c>
      <c r="O54" s="11" t="n">
        <f aca="false">SUMIF('Transaction Detail'!$A$2:$A$263,$R54,'Transaction Detail'!$K$2:$K$263)</f>
        <v>94.8</v>
      </c>
      <c r="P54" s="13" t="n">
        <f aca="false">IF(N54=0,"",O54/N54)</f>
        <v>0.1</v>
      </c>
      <c r="Q54" s="2"/>
      <c r="R54" s="2" t="s">
        <v>202</v>
      </c>
    </row>
    <row r="55" customFormat="false" ht="15" hidden="false" customHeight="false" outlineLevel="0" collapsed="false">
      <c r="A55" s="14" t="s">
        <v>22</v>
      </c>
      <c r="B55" s="14" t="s">
        <v>203</v>
      </c>
      <c r="C55" s="14" t="s">
        <v>105</v>
      </c>
      <c r="D55" s="14" t="s">
        <v>106</v>
      </c>
      <c r="E55" s="14" t="s">
        <v>26</v>
      </c>
      <c r="F55" s="14" t="s">
        <v>204</v>
      </c>
      <c r="G55" s="14" t="s">
        <v>205</v>
      </c>
      <c r="H55" s="14" t="s">
        <v>34</v>
      </c>
      <c r="I55" s="15" t="n">
        <v>6</v>
      </c>
      <c r="J55" s="16" t="n">
        <v>1188</v>
      </c>
      <c r="K55" s="14" t="s">
        <v>40</v>
      </c>
      <c r="L55" s="15" t="n">
        <f aca="false">COUNTIF('Transaction Detail'!$A$2:$A$263,$R55)</f>
        <v>0</v>
      </c>
      <c r="M55" s="15"/>
      <c r="N55" s="16" t="n">
        <f aca="false">SUMIF('Transaction Detail'!$A$2:$A$263,$R55,'Transaction Detail'!$I$2:$I$263)</f>
        <v>0</v>
      </c>
      <c r="O55" s="16" t="n">
        <f aca="false">SUMIF('Transaction Detail'!$A$2:$A$263,$R55,'Transaction Detail'!$K$2:$K$263)</f>
        <v>0</v>
      </c>
      <c r="P55" s="17" t="str">
        <f aca="false">IF(N55=0,"",O55/N55)</f>
        <v/>
      </c>
      <c r="Q55" s="14" t="s">
        <v>206</v>
      </c>
      <c r="R55" s="2" t="s">
        <v>207</v>
      </c>
    </row>
    <row r="56" customFormat="false" ht="15" hidden="false" customHeight="false" outlineLevel="0" collapsed="false">
      <c r="A56" s="14" t="s">
        <v>22</v>
      </c>
      <c r="B56" s="14" t="s">
        <v>208</v>
      </c>
      <c r="C56" s="14" t="s">
        <v>105</v>
      </c>
      <c r="D56" s="14" t="s">
        <v>106</v>
      </c>
      <c r="E56" s="14" t="s">
        <v>26</v>
      </c>
      <c r="F56" s="14" t="s">
        <v>204</v>
      </c>
      <c r="G56" s="14" t="s">
        <v>209</v>
      </c>
      <c r="H56" s="14" t="s">
        <v>158</v>
      </c>
      <c r="I56" s="15" t="n">
        <v>6</v>
      </c>
      <c r="J56" s="16" t="n">
        <v>1176</v>
      </c>
      <c r="K56" s="14" t="s">
        <v>40</v>
      </c>
      <c r="L56" s="15" t="n">
        <f aca="false">COUNTIF('Transaction Detail'!$A$2:$A$263,$R56)</f>
        <v>0</v>
      </c>
      <c r="M56" s="15"/>
      <c r="N56" s="16" t="n">
        <f aca="false">SUMIF('Transaction Detail'!$A$2:$A$263,$R56,'Transaction Detail'!$I$2:$I$263)</f>
        <v>0</v>
      </c>
      <c r="O56" s="16" t="n">
        <f aca="false">SUMIF('Transaction Detail'!$A$2:$A$263,$R56,'Transaction Detail'!$K$2:$K$263)</f>
        <v>0</v>
      </c>
      <c r="P56" s="17" t="str">
        <f aca="false">IF(N56=0,"",O56/N56)</f>
        <v/>
      </c>
      <c r="Q56" s="14" t="s">
        <v>206</v>
      </c>
      <c r="R56" s="2" t="s">
        <v>210</v>
      </c>
    </row>
    <row r="57" customFormat="false" ht="15" hidden="false" customHeight="false" outlineLevel="0" collapsed="false">
      <c r="A57" s="14" t="s">
        <v>22</v>
      </c>
      <c r="B57" s="14" t="s">
        <v>211</v>
      </c>
      <c r="C57" s="14" t="s">
        <v>105</v>
      </c>
      <c r="D57" s="14" t="s">
        <v>106</v>
      </c>
      <c r="E57" s="14" t="s">
        <v>26</v>
      </c>
      <c r="F57" s="14" t="s">
        <v>37</v>
      </c>
      <c r="G57" s="14" t="s">
        <v>212</v>
      </c>
      <c r="H57" s="14" t="s">
        <v>158</v>
      </c>
      <c r="I57" s="15" t="n">
        <v>6</v>
      </c>
      <c r="J57" s="16" t="n">
        <v>1133</v>
      </c>
      <c r="K57" s="14" t="s">
        <v>40</v>
      </c>
      <c r="L57" s="15" t="n">
        <f aca="false">COUNTIF('Transaction Detail'!$A$2:$A$263,$R57)</f>
        <v>0</v>
      </c>
      <c r="M57" s="15"/>
      <c r="N57" s="16" t="n">
        <f aca="false">SUMIF('Transaction Detail'!$A$2:$A$263,$R57,'Transaction Detail'!$I$2:$I$263)</f>
        <v>0</v>
      </c>
      <c r="O57" s="16" t="n">
        <f aca="false">SUMIF('Transaction Detail'!$A$2:$A$263,$R57,'Transaction Detail'!$K$2:$K$263)</f>
        <v>0</v>
      </c>
      <c r="P57" s="17" t="str">
        <f aca="false">IF(N57=0,"",O57/N57)</f>
        <v/>
      </c>
      <c r="Q57" s="14" t="s">
        <v>41</v>
      </c>
      <c r="R57" s="2" t="s">
        <v>213</v>
      </c>
    </row>
    <row r="58" customFormat="false" ht="15" hidden="false" customHeight="false" outlineLevel="0" collapsed="false">
      <c r="A58" s="14" t="s">
        <v>22</v>
      </c>
      <c r="B58" s="14" t="s">
        <v>214</v>
      </c>
      <c r="C58" s="14" t="s">
        <v>105</v>
      </c>
      <c r="D58" s="14" t="s">
        <v>106</v>
      </c>
      <c r="E58" s="14" t="s">
        <v>26</v>
      </c>
      <c r="F58" s="14" t="s">
        <v>37</v>
      </c>
      <c r="G58" s="14" t="s">
        <v>215</v>
      </c>
      <c r="H58" s="14" t="s">
        <v>70</v>
      </c>
      <c r="I58" s="15" t="n">
        <v>12</v>
      </c>
      <c r="J58" s="16" t="n">
        <v>1941</v>
      </c>
      <c r="K58" s="14" t="s">
        <v>40</v>
      </c>
      <c r="L58" s="15" t="n">
        <f aca="false">COUNTIF('Transaction Detail'!$A$2:$A$263,$R58)</f>
        <v>0</v>
      </c>
      <c r="M58" s="15"/>
      <c r="N58" s="16" t="n">
        <f aca="false">SUMIF('Transaction Detail'!$A$2:$A$263,$R58,'Transaction Detail'!$I$2:$I$263)</f>
        <v>0</v>
      </c>
      <c r="O58" s="16" t="n">
        <f aca="false">SUMIF('Transaction Detail'!$A$2:$A$263,$R58,'Transaction Detail'!$K$2:$K$263)</f>
        <v>0</v>
      </c>
      <c r="P58" s="17" t="str">
        <f aca="false">IF(N58=0,"",O58/N58)</f>
        <v/>
      </c>
      <c r="Q58" s="14" t="s">
        <v>41</v>
      </c>
      <c r="R58" s="2" t="s">
        <v>216</v>
      </c>
    </row>
    <row r="59" customFormat="false" ht="15" hidden="false" customHeight="false" outlineLevel="0" collapsed="false">
      <c r="A59" s="14" t="s">
        <v>22</v>
      </c>
      <c r="B59" s="14" t="s">
        <v>217</v>
      </c>
      <c r="C59" s="14" t="s">
        <v>105</v>
      </c>
      <c r="D59" s="14" t="s">
        <v>106</v>
      </c>
      <c r="E59" s="14" t="s">
        <v>26</v>
      </c>
      <c r="F59" s="14" t="s">
        <v>37</v>
      </c>
      <c r="G59" s="14" t="s">
        <v>218</v>
      </c>
      <c r="H59" s="14" t="s">
        <v>165</v>
      </c>
      <c r="I59" s="15" t="n">
        <v>12</v>
      </c>
      <c r="J59" s="16" t="n">
        <v>2005</v>
      </c>
      <c r="K59" s="14" t="s">
        <v>40</v>
      </c>
      <c r="L59" s="15" t="n">
        <f aca="false">COUNTIF('Transaction Detail'!$A$2:$A$263,$R59)</f>
        <v>0</v>
      </c>
      <c r="M59" s="15"/>
      <c r="N59" s="16" t="n">
        <f aca="false">SUMIF('Transaction Detail'!$A$2:$A$263,$R59,'Transaction Detail'!$I$2:$I$263)</f>
        <v>0</v>
      </c>
      <c r="O59" s="16" t="n">
        <f aca="false">SUMIF('Transaction Detail'!$A$2:$A$263,$R59,'Transaction Detail'!$K$2:$K$263)</f>
        <v>0</v>
      </c>
      <c r="P59" s="17" t="str">
        <f aca="false">IF(N59=0,"",O59/N59)</f>
        <v/>
      </c>
      <c r="Q59" s="14" t="s">
        <v>41</v>
      </c>
      <c r="R59" s="2" t="s">
        <v>219</v>
      </c>
    </row>
    <row r="60" customFormat="false" ht="15" hidden="false" customHeight="false" outlineLevel="0" collapsed="false">
      <c r="A60" s="14" t="s">
        <v>22</v>
      </c>
      <c r="B60" s="14" t="s">
        <v>220</v>
      </c>
      <c r="C60" s="14" t="s">
        <v>24</v>
      </c>
      <c r="D60" s="14" t="s">
        <v>106</v>
      </c>
      <c r="E60" s="14" t="s">
        <v>26</v>
      </c>
      <c r="F60" s="14" t="s">
        <v>37</v>
      </c>
      <c r="G60" s="14" t="s">
        <v>221</v>
      </c>
      <c r="H60" s="14" t="s">
        <v>222</v>
      </c>
      <c r="I60" s="15" t="n">
        <v>12</v>
      </c>
      <c r="J60" s="16"/>
      <c r="K60" s="14" t="s">
        <v>40</v>
      </c>
      <c r="L60" s="15" t="n">
        <f aca="false">COUNTIF('Transaction Detail'!$A$2:$A$263,$R60)</f>
        <v>0</v>
      </c>
      <c r="M60" s="15"/>
      <c r="N60" s="16" t="n">
        <f aca="false">SUMIF('Transaction Detail'!$A$2:$A$263,$R60,'Transaction Detail'!$I$2:$I$263)</f>
        <v>0</v>
      </c>
      <c r="O60" s="16" t="n">
        <f aca="false">SUMIF('Transaction Detail'!$A$2:$A$263,$R60,'Transaction Detail'!$K$2:$K$263)</f>
        <v>0</v>
      </c>
      <c r="P60" s="17" t="str">
        <f aca="false">IF(N60=0,"",O60/N60)</f>
        <v/>
      </c>
      <c r="Q60" s="14" t="s">
        <v>41</v>
      </c>
      <c r="R60" s="2" t="s">
        <v>223</v>
      </c>
    </row>
    <row r="61" customFormat="false" ht="15" hidden="false" customHeight="false" outlineLevel="0" collapsed="false">
      <c r="A61" s="14" t="s">
        <v>22</v>
      </c>
      <c r="B61" s="14" t="s">
        <v>224</v>
      </c>
      <c r="C61" s="14" t="s">
        <v>24</v>
      </c>
      <c r="D61" s="14" t="s">
        <v>106</v>
      </c>
      <c r="E61" s="14" t="s">
        <v>26</v>
      </c>
      <c r="F61" s="14" t="s">
        <v>37</v>
      </c>
      <c r="G61" s="14" t="s">
        <v>225</v>
      </c>
      <c r="H61" s="14" t="s">
        <v>222</v>
      </c>
      <c r="I61" s="15" t="n">
        <v>12</v>
      </c>
      <c r="J61" s="16"/>
      <c r="K61" s="14" t="s">
        <v>40</v>
      </c>
      <c r="L61" s="15" t="n">
        <f aca="false">COUNTIF('Transaction Detail'!$A$2:$A$263,$R61)</f>
        <v>0</v>
      </c>
      <c r="M61" s="15"/>
      <c r="N61" s="16" t="n">
        <f aca="false">SUMIF('Transaction Detail'!$A$2:$A$263,$R61,'Transaction Detail'!$I$2:$I$263)</f>
        <v>0</v>
      </c>
      <c r="O61" s="16" t="n">
        <f aca="false">SUMIF('Transaction Detail'!$A$2:$A$263,$R61,'Transaction Detail'!$K$2:$K$263)</f>
        <v>0</v>
      </c>
      <c r="P61" s="17" t="str">
        <f aca="false">IF(N61=0,"",O61/N61)</f>
        <v/>
      </c>
      <c r="Q61" s="14" t="s">
        <v>41</v>
      </c>
      <c r="R61" s="2" t="s">
        <v>226</v>
      </c>
    </row>
    <row r="62" customFormat="false" ht="15" hidden="false" customHeight="false" outlineLevel="0" collapsed="false">
      <c r="A62" s="14" t="s">
        <v>22</v>
      </c>
      <c r="B62" s="14" t="s">
        <v>227</v>
      </c>
      <c r="C62" s="14" t="s">
        <v>105</v>
      </c>
      <c r="D62" s="14" t="s">
        <v>106</v>
      </c>
      <c r="E62" s="14" t="s">
        <v>26</v>
      </c>
      <c r="F62" s="14" t="s">
        <v>228</v>
      </c>
      <c r="G62" s="14" t="s">
        <v>229</v>
      </c>
      <c r="H62" s="14" t="s">
        <v>29</v>
      </c>
      <c r="I62" s="15" t="n">
        <v>6</v>
      </c>
      <c r="J62" s="16" t="n">
        <v>954</v>
      </c>
      <c r="K62" s="14" t="s">
        <v>40</v>
      </c>
      <c r="L62" s="15" t="n">
        <f aca="false">COUNTIF('Transaction Detail'!$A$2:$A$263,$R62)</f>
        <v>0</v>
      </c>
      <c r="M62" s="15"/>
      <c r="N62" s="16" t="n">
        <f aca="false">SUMIF('Transaction Detail'!$A$2:$A$263,$R62,'Transaction Detail'!$I$2:$I$263)</f>
        <v>0</v>
      </c>
      <c r="O62" s="16" t="n">
        <f aca="false">SUMIF('Transaction Detail'!$A$2:$A$263,$R62,'Transaction Detail'!$K$2:$K$263)</f>
        <v>0</v>
      </c>
      <c r="P62" s="17" t="str">
        <f aca="false">IF(N62=0,"",O62/N62)</f>
        <v/>
      </c>
      <c r="Q62" s="14" t="s">
        <v>230</v>
      </c>
      <c r="R62" s="2" t="s">
        <v>231</v>
      </c>
    </row>
    <row r="63" customFormat="false" ht="15" hidden="false" customHeight="false" outlineLevel="0" collapsed="false">
      <c r="A63" s="14" t="s">
        <v>22</v>
      </c>
      <c r="B63" s="14" t="s">
        <v>232</v>
      </c>
      <c r="C63" s="14" t="s">
        <v>24</v>
      </c>
      <c r="D63" s="14" t="s">
        <v>106</v>
      </c>
      <c r="E63" s="14" t="s">
        <v>26</v>
      </c>
      <c r="F63" s="14" t="s">
        <v>228</v>
      </c>
      <c r="G63" s="14" t="s">
        <v>233</v>
      </c>
      <c r="H63" s="14" t="s">
        <v>234</v>
      </c>
      <c r="I63" s="15" t="n">
        <v>12</v>
      </c>
      <c r="J63" s="16"/>
      <c r="K63" s="14" t="s">
        <v>40</v>
      </c>
      <c r="L63" s="15" t="n">
        <f aca="false">COUNTIF('Transaction Detail'!$A$2:$A$263,$R63)</f>
        <v>0</v>
      </c>
      <c r="M63" s="15"/>
      <c r="N63" s="16" t="n">
        <f aca="false">SUMIF('Transaction Detail'!$A$2:$A$263,$R63,'Transaction Detail'!$I$2:$I$263)</f>
        <v>0</v>
      </c>
      <c r="O63" s="16" t="n">
        <f aca="false">SUMIF('Transaction Detail'!$A$2:$A$263,$R63,'Transaction Detail'!$K$2:$K$263)</f>
        <v>0</v>
      </c>
      <c r="P63" s="17" t="str">
        <f aca="false">IF(N63=0,"",O63/N63)</f>
        <v/>
      </c>
      <c r="Q63" s="14" t="s">
        <v>230</v>
      </c>
      <c r="R63" s="2" t="s">
        <v>235</v>
      </c>
    </row>
    <row r="64" customFormat="false" ht="15" hidden="false" customHeight="false" outlineLevel="0" collapsed="false">
      <c r="A64" s="14" t="s">
        <v>22</v>
      </c>
      <c r="B64" s="14" t="s">
        <v>236</v>
      </c>
      <c r="C64" s="14" t="s">
        <v>105</v>
      </c>
      <c r="D64" s="14" t="s">
        <v>106</v>
      </c>
      <c r="E64" s="14" t="s">
        <v>26</v>
      </c>
      <c r="F64" s="14" t="s">
        <v>228</v>
      </c>
      <c r="G64" s="14" t="s">
        <v>237</v>
      </c>
      <c r="H64" s="14" t="s">
        <v>60</v>
      </c>
      <c r="I64" s="15" t="n">
        <v>6</v>
      </c>
      <c r="J64" s="16" t="n">
        <v>1450</v>
      </c>
      <c r="K64" s="14" t="s">
        <v>40</v>
      </c>
      <c r="L64" s="15" t="n">
        <f aca="false">COUNTIF('Transaction Detail'!$A$2:$A$263,$R64)</f>
        <v>0</v>
      </c>
      <c r="M64" s="15"/>
      <c r="N64" s="16" t="n">
        <f aca="false">SUMIF('Transaction Detail'!$A$2:$A$263,$R64,'Transaction Detail'!$I$2:$I$263)</f>
        <v>0</v>
      </c>
      <c r="O64" s="16" t="n">
        <f aca="false">SUMIF('Transaction Detail'!$A$2:$A$263,$R64,'Transaction Detail'!$K$2:$K$263)</f>
        <v>0</v>
      </c>
      <c r="P64" s="17" t="str">
        <f aca="false">IF(N64=0,"",O64/N64)</f>
        <v/>
      </c>
      <c r="Q64" s="14" t="s">
        <v>230</v>
      </c>
      <c r="R64" s="2" t="s">
        <v>238</v>
      </c>
    </row>
    <row r="65" customFormat="false" ht="15" hidden="false" customHeight="false" outlineLevel="0" collapsed="false">
      <c r="A65" s="2" t="s">
        <v>22</v>
      </c>
      <c r="B65" s="2" t="s">
        <v>239</v>
      </c>
      <c r="C65" s="2" t="s">
        <v>105</v>
      </c>
      <c r="D65" s="2" t="s">
        <v>106</v>
      </c>
      <c r="E65" s="2" t="s">
        <v>26</v>
      </c>
      <c r="F65" s="2" t="s">
        <v>240</v>
      </c>
      <c r="G65" s="2" t="s">
        <v>241</v>
      </c>
      <c r="H65" s="2" t="s">
        <v>242</v>
      </c>
      <c r="I65" s="10" t="n">
        <v>6</v>
      </c>
      <c r="J65" s="11" t="n">
        <v>921</v>
      </c>
      <c r="K65" s="2" t="s">
        <v>243</v>
      </c>
      <c r="L65" s="10" t="n">
        <f aca="false">COUNTIF('Transaction Detail'!$A$2:$A$263,$R65)</f>
        <v>1</v>
      </c>
      <c r="M65" s="12" t="n">
        <v>0.1</v>
      </c>
      <c r="N65" s="11" t="n">
        <f aca="false">SUMIF('Transaction Detail'!$A$2:$A$263,$R65,'Transaction Detail'!$I$2:$I$263)</f>
        <v>178.5</v>
      </c>
      <c r="O65" s="11" t="n">
        <f aca="false">SUMIF('Transaction Detail'!$A$2:$A$263,$R65,'Transaction Detail'!$K$2:$K$263)</f>
        <v>17.85</v>
      </c>
      <c r="P65" s="13" t="n">
        <f aca="false">IF(N65=0,"",O65/N65)</f>
        <v>0.1</v>
      </c>
      <c r="Q65" s="2"/>
      <c r="R65" s="2" t="s">
        <v>244</v>
      </c>
    </row>
    <row r="66" customFormat="false" ht="15" hidden="false" customHeight="false" outlineLevel="0" collapsed="false">
      <c r="A66" s="2" t="s">
        <v>22</v>
      </c>
      <c r="B66" s="2" t="s">
        <v>245</v>
      </c>
      <c r="C66" s="2" t="s">
        <v>105</v>
      </c>
      <c r="D66" s="2" t="s">
        <v>106</v>
      </c>
      <c r="E66" s="2" t="s">
        <v>26</v>
      </c>
      <c r="F66" s="2" t="s">
        <v>240</v>
      </c>
      <c r="G66" s="2" t="s">
        <v>246</v>
      </c>
      <c r="H66" s="2" t="s">
        <v>247</v>
      </c>
      <c r="I66" s="10" t="n">
        <v>6</v>
      </c>
      <c r="J66" s="11" t="n">
        <v>1065</v>
      </c>
      <c r="K66" s="2" t="s">
        <v>243</v>
      </c>
      <c r="L66" s="10" t="n">
        <f aca="false">COUNTIF('Transaction Detail'!$A$2:$A$263,$R66)</f>
        <v>1</v>
      </c>
      <c r="M66" s="12" t="n">
        <v>0.1</v>
      </c>
      <c r="N66" s="11" t="n">
        <f aca="false">SUMIF('Transaction Detail'!$A$2:$A$263,$R66,'Transaction Detail'!$I$2:$I$263)</f>
        <v>164.67</v>
      </c>
      <c r="O66" s="11" t="n">
        <f aca="false">SUMIF('Transaction Detail'!$A$2:$A$263,$R66,'Transaction Detail'!$K$2:$K$263)</f>
        <v>16.47</v>
      </c>
      <c r="P66" s="13" t="n">
        <f aca="false">IF(N66=0,"",O66/N66)</f>
        <v>0.100018218254691</v>
      </c>
      <c r="Q66" s="2"/>
      <c r="R66" s="2" t="s">
        <v>248</v>
      </c>
    </row>
    <row r="67" customFormat="false" ht="15" hidden="false" customHeight="false" outlineLevel="0" collapsed="false">
      <c r="A67" s="2" t="s">
        <v>22</v>
      </c>
      <c r="B67" s="2" t="s">
        <v>249</v>
      </c>
      <c r="C67" s="2" t="s">
        <v>105</v>
      </c>
      <c r="D67" s="2" t="s">
        <v>106</v>
      </c>
      <c r="E67" s="2" t="s">
        <v>26</v>
      </c>
      <c r="F67" s="2" t="s">
        <v>240</v>
      </c>
      <c r="G67" s="2" t="s">
        <v>250</v>
      </c>
      <c r="H67" s="2" t="s">
        <v>198</v>
      </c>
      <c r="I67" s="10" t="n">
        <v>6</v>
      </c>
      <c r="J67" s="11" t="n">
        <v>315</v>
      </c>
      <c r="K67" s="2" t="s">
        <v>243</v>
      </c>
      <c r="L67" s="10" t="n">
        <f aca="false">COUNTIF('Transaction Detail'!$A$2:$A$263,$R67)</f>
        <v>1</v>
      </c>
      <c r="M67" s="12" t="n">
        <v>0.1</v>
      </c>
      <c r="N67" s="11" t="n">
        <f aca="false">SUMIF('Transaction Detail'!$A$2:$A$263,$R67,'Transaction Detail'!$I$2:$I$263)</f>
        <v>77.5</v>
      </c>
      <c r="O67" s="11" t="n">
        <f aca="false">SUMIF('Transaction Detail'!$A$2:$A$263,$R67,'Transaction Detail'!$K$2:$K$263)</f>
        <v>7.75</v>
      </c>
      <c r="P67" s="13" t="n">
        <f aca="false">IF(N67=0,"",O67/N67)</f>
        <v>0.1</v>
      </c>
      <c r="Q67" s="2"/>
      <c r="R67" s="2" t="s">
        <v>251</v>
      </c>
    </row>
    <row r="68" customFormat="false" ht="15" hidden="false" customHeight="false" outlineLevel="0" collapsed="false">
      <c r="A68" s="2" t="s">
        <v>22</v>
      </c>
      <c r="B68" s="2" t="s">
        <v>252</v>
      </c>
      <c r="C68" s="2" t="s">
        <v>24</v>
      </c>
      <c r="D68" s="2" t="s">
        <v>106</v>
      </c>
      <c r="E68" s="2" t="s">
        <v>253</v>
      </c>
      <c r="F68" s="2" t="s">
        <v>27</v>
      </c>
      <c r="G68" s="2" t="s">
        <v>254</v>
      </c>
      <c r="H68" s="2" t="s">
        <v>255</v>
      </c>
      <c r="I68" s="10" t="n">
        <v>12</v>
      </c>
      <c r="J68" s="11"/>
      <c r="K68" s="2" t="s">
        <v>30</v>
      </c>
      <c r="L68" s="10" t="n">
        <f aca="false">COUNTIF('Transaction Detail'!$A$2:$A$263,$R68)</f>
        <v>0</v>
      </c>
      <c r="M68" s="10"/>
      <c r="N68" s="11" t="n">
        <f aca="false">SUMIF('Transaction Detail'!$A$2:$A$263,$R68,'Transaction Detail'!$I$2:$I$263)</f>
        <v>0</v>
      </c>
      <c r="O68" s="11" t="n">
        <f aca="false">SUMIF('Transaction Detail'!$A$2:$A$263,$R68,'Transaction Detail'!$K$2:$K$263)</f>
        <v>0</v>
      </c>
      <c r="P68" s="13" t="str">
        <f aca="false">IF(N68=0,"",O68/N68)</f>
        <v/>
      </c>
      <c r="Q68" s="2" t="s">
        <v>256</v>
      </c>
      <c r="R68" s="2" t="s">
        <v>257</v>
      </c>
    </row>
    <row r="69" customFormat="false" ht="15" hidden="false" customHeight="false" outlineLevel="0" collapsed="false">
      <c r="A69" s="2" t="s">
        <v>22</v>
      </c>
      <c r="B69" s="2" t="s">
        <v>258</v>
      </c>
      <c r="C69" s="2" t="s">
        <v>24</v>
      </c>
      <c r="D69" s="2" t="s">
        <v>106</v>
      </c>
      <c r="E69" s="2" t="s">
        <v>253</v>
      </c>
      <c r="F69" s="2" t="s">
        <v>27</v>
      </c>
      <c r="G69" s="2" t="s">
        <v>259</v>
      </c>
      <c r="H69" s="2" t="s">
        <v>260</v>
      </c>
      <c r="I69" s="10" t="n">
        <v>12</v>
      </c>
      <c r="J69" s="11"/>
      <c r="K69" s="2" t="s">
        <v>30</v>
      </c>
      <c r="L69" s="10" t="n">
        <f aca="false">COUNTIF('Transaction Detail'!$A$2:$A$263,$R69)</f>
        <v>0</v>
      </c>
      <c r="M69" s="10"/>
      <c r="N69" s="11" t="n">
        <f aca="false">SUMIF('Transaction Detail'!$A$2:$A$263,$R69,'Transaction Detail'!$I$2:$I$263)</f>
        <v>0</v>
      </c>
      <c r="O69" s="11" t="n">
        <f aca="false">SUMIF('Transaction Detail'!$A$2:$A$263,$R69,'Transaction Detail'!$K$2:$K$263)</f>
        <v>0</v>
      </c>
      <c r="P69" s="13" t="str">
        <f aca="false">IF(N69=0,"",O69/N69)</f>
        <v/>
      </c>
      <c r="Q69" s="2" t="s">
        <v>261</v>
      </c>
      <c r="R69" s="2" t="s">
        <v>262</v>
      </c>
    </row>
    <row r="70" customFormat="false" ht="15" hidden="false" customHeight="false" outlineLevel="0" collapsed="false">
      <c r="A70" s="2" t="s">
        <v>22</v>
      </c>
      <c r="B70" s="2" t="s">
        <v>263</v>
      </c>
      <c r="C70" s="2" t="s">
        <v>24</v>
      </c>
      <c r="D70" s="2" t="s">
        <v>106</v>
      </c>
      <c r="E70" s="2" t="s">
        <v>26</v>
      </c>
      <c r="F70" s="2" t="s">
        <v>27</v>
      </c>
      <c r="G70" s="2" t="s">
        <v>264</v>
      </c>
      <c r="H70" s="2" t="s">
        <v>265</v>
      </c>
      <c r="I70" s="10" t="n">
        <v>12</v>
      </c>
      <c r="J70" s="11"/>
      <c r="K70" s="2" t="s">
        <v>30</v>
      </c>
      <c r="L70" s="10" t="n">
        <f aca="false">COUNTIF('Transaction Detail'!$A$2:$A$263,$R70)</f>
        <v>0</v>
      </c>
      <c r="M70" s="10"/>
      <c r="N70" s="11" t="n">
        <f aca="false">SUMIF('Transaction Detail'!$A$2:$A$263,$R70,'Transaction Detail'!$I$2:$I$263)</f>
        <v>0</v>
      </c>
      <c r="O70" s="11" t="n">
        <f aca="false">SUMIF('Transaction Detail'!$A$2:$A$263,$R70,'Transaction Detail'!$K$2:$K$263)</f>
        <v>0</v>
      </c>
      <c r="P70" s="13" t="str">
        <f aca="false">IF(N70=0,"",O70/N70)</f>
        <v/>
      </c>
      <c r="Q70" s="2" t="s">
        <v>266</v>
      </c>
      <c r="R70" s="2" t="s">
        <v>267</v>
      </c>
    </row>
    <row r="71" customFormat="false" ht="15" hidden="false" customHeight="false" outlineLevel="0" collapsed="false">
      <c r="A71" s="2" t="s">
        <v>22</v>
      </c>
      <c r="B71" s="2" t="s">
        <v>268</v>
      </c>
      <c r="C71" s="2" t="s">
        <v>105</v>
      </c>
      <c r="D71" s="2" t="s">
        <v>106</v>
      </c>
      <c r="E71" s="2" t="s">
        <v>26</v>
      </c>
      <c r="F71" s="2" t="s">
        <v>27</v>
      </c>
      <c r="G71" s="2" t="s">
        <v>269</v>
      </c>
      <c r="H71" s="2" t="s">
        <v>60</v>
      </c>
      <c r="I71" s="10" t="n">
        <v>6</v>
      </c>
      <c r="J71" s="11" t="n">
        <v>1425</v>
      </c>
      <c r="K71" s="2" t="s">
        <v>30</v>
      </c>
      <c r="L71" s="10" t="n">
        <f aca="false">COUNTIF('Transaction Detail'!$A$2:$A$263,$R71)</f>
        <v>1</v>
      </c>
      <c r="M71" s="12" t="n">
        <v>0.1</v>
      </c>
      <c r="N71" s="11" t="n">
        <f aca="false">SUMIF('Transaction Detail'!$A$2:$A$263,$R71,'Transaction Detail'!$I$2:$I$263)</f>
        <v>1425</v>
      </c>
      <c r="O71" s="11" t="n">
        <f aca="false">SUMIF('Transaction Detail'!$A$2:$A$263,$R71,'Transaction Detail'!$K$2:$K$263)</f>
        <v>142.5</v>
      </c>
      <c r="P71" s="13" t="n">
        <f aca="false">IF(N71=0,"",O71/N71)</f>
        <v>0.1</v>
      </c>
      <c r="Q71" s="2"/>
      <c r="R71" s="2" t="s">
        <v>270</v>
      </c>
    </row>
    <row r="72" customFormat="false" ht="15" hidden="false" customHeight="false" outlineLevel="0" collapsed="false">
      <c r="A72" s="2" t="s">
        <v>22</v>
      </c>
      <c r="B72" s="2" t="s">
        <v>271</v>
      </c>
      <c r="C72" s="2" t="s">
        <v>24</v>
      </c>
      <c r="D72" s="2" t="s">
        <v>106</v>
      </c>
      <c r="E72" s="2" t="s">
        <v>26</v>
      </c>
      <c r="F72" s="2" t="s">
        <v>27</v>
      </c>
      <c r="G72" s="2" t="s">
        <v>272</v>
      </c>
      <c r="H72" s="2" t="s">
        <v>273</v>
      </c>
      <c r="I72" s="10" t="n">
        <v>12</v>
      </c>
      <c r="J72" s="11"/>
      <c r="K72" s="2" t="s">
        <v>30</v>
      </c>
      <c r="L72" s="10" t="n">
        <f aca="false">COUNTIF('Transaction Detail'!$A$2:$A$263,$R72)</f>
        <v>0</v>
      </c>
      <c r="M72" s="10"/>
      <c r="N72" s="11" t="n">
        <f aca="false">SUMIF('Transaction Detail'!$A$2:$A$263,$R72,'Transaction Detail'!$I$2:$I$263)</f>
        <v>0</v>
      </c>
      <c r="O72" s="11" t="n">
        <f aca="false">SUMIF('Transaction Detail'!$A$2:$A$263,$R72,'Transaction Detail'!$K$2:$K$263)</f>
        <v>0</v>
      </c>
      <c r="P72" s="13" t="str">
        <f aca="false">IF(N72=0,"",O72/N72)</f>
        <v/>
      </c>
      <c r="Q72" s="2" t="s">
        <v>274</v>
      </c>
      <c r="R72" s="2" t="s">
        <v>275</v>
      </c>
    </row>
    <row r="73" customFormat="false" ht="15" hidden="false" customHeight="false" outlineLevel="0" collapsed="false">
      <c r="A73" s="18"/>
      <c r="B73" s="18" t="s">
        <v>276</v>
      </c>
      <c r="C73" s="18"/>
      <c r="D73" s="18"/>
      <c r="E73" s="18"/>
      <c r="F73" s="18"/>
      <c r="G73" s="18"/>
      <c r="H73" s="18"/>
      <c r="I73" s="19"/>
      <c r="J73" s="20" t="n">
        <f aca="false">SUM(J28:J72)</f>
        <v>49272.55</v>
      </c>
      <c r="K73" s="18"/>
      <c r="L73" s="19"/>
      <c r="M73" s="19"/>
      <c r="N73" s="20" t="n">
        <f aca="false">SUM(N28:N72)</f>
        <v>28848.44</v>
      </c>
      <c r="O73" s="20" t="n">
        <f aca="false">SUM(O28:O72)</f>
        <v>2884.85</v>
      </c>
      <c r="P73" s="21" t="n">
        <f aca="false">IF(N73=0,"",O73/N73)</f>
        <v>0.100000207983517</v>
      </c>
      <c r="Q73" s="18"/>
      <c r="R73" s="2"/>
    </row>
    <row r="74" customFormat="false" ht="15" hidden="false" customHeight="false" outlineLevel="0" collapsed="false">
      <c r="A74" s="2"/>
      <c r="B74" s="2"/>
      <c r="C74" s="2"/>
      <c r="D74" s="2"/>
      <c r="E74" s="2"/>
      <c r="F74" s="2"/>
      <c r="G74" s="2"/>
      <c r="H74" s="2"/>
      <c r="I74" s="10"/>
      <c r="J74" s="11"/>
      <c r="K74" s="2"/>
      <c r="L74" s="10"/>
      <c r="M74" s="10"/>
      <c r="N74" s="11"/>
      <c r="O74" s="11"/>
      <c r="P74" s="13"/>
      <c r="Q74" s="2"/>
      <c r="R74" s="2"/>
    </row>
    <row r="75" customFormat="false" ht="15" hidden="false" customHeight="false" outlineLevel="0" collapsed="false">
      <c r="A75" s="22"/>
      <c r="B75" s="22" t="s">
        <v>277</v>
      </c>
      <c r="C75" s="22"/>
      <c r="D75" s="22"/>
      <c r="E75" s="22"/>
      <c r="F75" s="22"/>
      <c r="G75" s="22"/>
      <c r="H75" s="22"/>
      <c r="I75" s="23"/>
      <c r="J75" s="24" t="n">
        <f aca="false">J25+J73</f>
        <v>78381.95</v>
      </c>
      <c r="K75" s="22"/>
      <c r="L75" s="23"/>
      <c r="M75" s="23"/>
      <c r="N75" s="24" t="n">
        <f aca="false">N25+N73</f>
        <v>48579.73</v>
      </c>
      <c r="O75" s="24" t="n">
        <f aca="false">O25+O73</f>
        <v>4973.41</v>
      </c>
      <c r="P75" s="25" t="n">
        <f aca="false">IF(N75=0,"",O75/N75)</f>
        <v>0.102376237990619</v>
      </c>
      <c r="Q75" s="22"/>
      <c r="R75" s="2"/>
    </row>
  </sheetData>
  <autoFilter ref="A5:Q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3"/>
    <col collapsed="false" customWidth="true" hidden="false" outlineLevel="0" max="3" min="3" style="0" width="38"/>
    <col collapsed="false" customWidth="true" hidden="false" outlineLevel="0" max="4" min="4" style="0" width="20"/>
    <col collapsed="false" customWidth="true" hidden="false" outlineLevel="0" max="5" min="5" style="0" width="32"/>
    <col collapsed="false" customWidth="true" hidden="false" outlineLevel="0" max="6" min="6" style="0" width="20"/>
    <col collapsed="false" customWidth="true" hidden="false" outlineLevel="0" max="7" min="7" style="0" width="14"/>
    <col collapsed="false" customWidth="true" hidden="false" outlineLevel="0" max="9" min="8" style="0" width="17"/>
    <col collapsed="false" customWidth="true" hidden="false" outlineLevel="0" max="10" min="10" style="0" width="12"/>
    <col collapsed="false" customWidth="true" hidden="false" outlineLevel="0" max="11" min="11" style="0" width="17"/>
    <col collapsed="false" customWidth="true" hidden="false" outlineLevel="0" max="12" min="12" style="0" width="12"/>
    <col collapsed="false" customWidth="true" hidden="false" outlineLevel="0" max="13" min="13" style="0" width="30"/>
  </cols>
  <sheetData>
    <row r="1" customFormat="false" ht="35.05" hidden="false" customHeight="false" outlineLevel="0" collapsed="false">
      <c r="A1" s="4" t="s">
        <v>278</v>
      </c>
      <c r="B1" s="4" t="s">
        <v>8</v>
      </c>
      <c r="C1" s="4" t="s">
        <v>279</v>
      </c>
      <c r="D1" s="4" t="s">
        <v>280</v>
      </c>
      <c r="E1" s="4" t="s">
        <v>281</v>
      </c>
      <c r="F1" s="4" t="s">
        <v>282</v>
      </c>
      <c r="G1" s="4" t="s">
        <v>283</v>
      </c>
      <c r="H1" s="4" t="s">
        <v>284</v>
      </c>
      <c r="I1" s="4" t="s">
        <v>285</v>
      </c>
      <c r="J1" s="4" t="s">
        <v>15</v>
      </c>
      <c r="K1" s="4" t="s">
        <v>286</v>
      </c>
      <c r="L1" s="4" t="s">
        <v>287</v>
      </c>
      <c r="M1" s="4" t="s">
        <v>288</v>
      </c>
    </row>
    <row r="2" customFormat="false" ht="15" hidden="false" customHeight="false" outlineLevel="0" collapsed="false">
      <c r="A2" s="26" t="s">
        <v>134</v>
      </c>
      <c r="B2" s="26" t="s">
        <v>44</v>
      </c>
      <c r="C2" s="26" t="s">
        <v>47</v>
      </c>
      <c r="D2" s="26" t="s">
        <v>131</v>
      </c>
      <c r="E2" s="26" t="s">
        <v>289</v>
      </c>
      <c r="F2" s="26" t="s">
        <v>290</v>
      </c>
      <c r="G2" s="26" t="s">
        <v>291</v>
      </c>
      <c r="H2" s="27" t="n">
        <v>-600.23</v>
      </c>
      <c r="I2" s="27" t="n">
        <v>-600.23</v>
      </c>
      <c r="J2" s="28" t="n">
        <v>0.1</v>
      </c>
      <c r="K2" s="27" t="n">
        <f aca="false">ROUND(I2*J2,2)</f>
        <v>-60.02</v>
      </c>
      <c r="L2" s="29" t="s">
        <v>292</v>
      </c>
      <c r="M2" s="26" t="s">
        <v>130</v>
      </c>
    </row>
    <row r="3" customFormat="false" ht="15" hidden="false" customHeight="false" outlineLevel="0" collapsed="false">
      <c r="A3" s="26" t="s">
        <v>134</v>
      </c>
      <c r="B3" s="26" t="s">
        <v>44</v>
      </c>
      <c r="C3" s="26" t="s">
        <v>47</v>
      </c>
      <c r="D3" s="26" t="s">
        <v>131</v>
      </c>
      <c r="E3" s="26" t="s">
        <v>289</v>
      </c>
      <c r="F3" s="26" t="s">
        <v>106</v>
      </c>
      <c r="G3" s="26" t="s">
        <v>293</v>
      </c>
      <c r="H3" s="27" t="n">
        <v>1956</v>
      </c>
      <c r="I3" s="27" t="n">
        <v>1956</v>
      </c>
      <c r="J3" s="28" t="n">
        <v>0.1</v>
      </c>
      <c r="K3" s="27" t="n">
        <f aca="false">ROUND(I3*J3,2)</f>
        <v>195.6</v>
      </c>
      <c r="L3" s="29" t="s">
        <v>292</v>
      </c>
      <c r="M3" s="26" t="s">
        <v>130</v>
      </c>
    </row>
    <row r="4" customFormat="false" ht="15" hidden="false" customHeight="false" outlineLevel="0" collapsed="false">
      <c r="A4" s="26" t="s">
        <v>137</v>
      </c>
      <c r="B4" s="26" t="s">
        <v>44</v>
      </c>
      <c r="C4" s="26" t="s">
        <v>47</v>
      </c>
      <c r="D4" s="26" t="s">
        <v>136</v>
      </c>
      <c r="E4" s="26" t="s">
        <v>294</v>
      </c>
      <c r="F4" s="26" t="s">
        <v>106</v>
      </c>
      <c r="G4" s="26" t="s">
        <v>295</v>
      </c>
      <c r="H4" s="27" t="n">
        <v>2305</v>
      </c>
      <c r="I4" s="27" t="n">
        <v>2305</v>
      </c>
      <c r="J4" s="28" t="n">
        <v>0.1</v>
      </c>
      <c r="K4" s="27" t="n">
        <f aca="false">ROUND(I4*J4,2)</f>
        <v>230.5</v>
      </c>
      <c r="L4" s="29" t="s">
        <v>292</v>
      </c>
      <c r="M4" s="26" t="s">
        <v>135</v>
      </c>
    </row>
    <row r="5" customFormat="false" ht="15" hidden="false" customHeight="false" outlineLevel="0" collapsed="false">
      <c r="A5" s="26" t="s">
        <v>126</v>
      </c>
      <c r="B5" s="26" t="s">
        <v>44</v>
      </c>
      <c r="C5" s="26" t="s">
        <v>47</v>
      </c>
      <c r="D5" s="26" t="s">
        <v>125</v>
      </c>
      <c r="E5" s="26" t="s">
        <v>296</v>
      </c>
      <c r="F5" s="26" t="s">
        <v>106</v>
      </c>
      <c r="G5" s="26" t="s">
        <v>297</v>
      </c>
      <c r="H5" s="27" t="n">
        <v>2276</v>
      </c>
      <c r="I5" s="27" t="n">
        <v>2276</v>
      </c>
      <c r="J5" s="28" t="n">
        <v>0.1</v>
      </c>
      <c r="K5" s="27" t="n">
        <f aca="false">ROUND(I5*J5,2)</f>
        <v>227.6</v>
      </c>
      <c r="L5" s="29" t="s">
        <v>292</v>
      </c>
      <c r="M5" s="26" t="s">
        <v>124</v>
      </c>
    </row>
    <row r="6" customFormat="false" ht="15" hidden="false" customHeight="false" outlineLevel="0" collapsed="false">
      <c r="A6" s="26" t="s">
        <v>162</v>
      </c>
      <c r="B6" s="26" t="s">
        <v>44</v>
      </c>
      <c r="C6" s="26" t="s">
        <v>47</v>
      </c>
      <c r="D6" s="26" t="s">
        <v>161</v>
      </c>
      <c r="E6" s="26" t="s">
        <v>298</v>
      </c>
      <c r="F6" s="26" t="s">
        <v>106</v>
      </c>
      <c r="G6" s="26" t="s">
        <v>299</v>
      </c>
      <c r="H6" s="27" t="n">
        <v>539</v>
      </c>
      <c r="I6" s="27" t="n">
        <v>539</v>
      </c>
      <c r="J6" s="28" t="n">
        <v>0.1</v>
      </c>
      <c r="K6" s="27" t="n">
        <f aca="false">ROUND(I6*J6,2)</f>
        <v>53.9</v>
      </c>
      <c r="L6" s="29" t="s">
        <v>292</v>
      </c>
      <c r="M6" s="26" t="s">
        <v>160</v>
      </c>
    </row>
    <row r="7" customFormat="false" ht="15" hidden="false" customHeight="false" outlineLevel="0" collapsed="false">
      <c r="A7" s="26" t="s">
        <v>166</v>
      </c>
      <c r="B7" s="26" t="s">
        <v>44</v>
      </c>
      <c r="C7" s="26" t="s">
        <v>47</v>
      </c>
      <c r="D7" s="26" t="s">
        <v>164</v>
      </c>
      <c r="E7" s="26" t="s">
        <v>300</v>
      </c>
      <c r="F7" s="26" t="s">
        <v>106</v>
      </c>
      <c r="G7" s="26" t="s">
        <v>301</v>
      </c>
      <c r="H7" s="27" t="n">
        <v>945</v>
      </c>
      <c r="I7" s="27" t="n">
        <v>945</v>
      </c>
      <c r="J7" s="28" t="n">
        <v>0.1</v>
      </c>
      <c r="K7" s="27" t="n">
        <f aca="false">ROUND(I7*J7,2)</f>
        <v>94.5</v>
      </c>
      <c r="L7" s="29" t="s">
        <v>292</v>
      </c>
      <c r="M7" s="26" t="s">
        <v>163</v>
      </c>
    </row>
    <row r="8" customFormat="false" ht="15" hidden="false" customHeight="false" outlineLevel="0" collapsed="false">
      <c r="A8" s="26" t="s">
        <v>176</v>
      </c>
      <c r="B8" s="26" t="s">
        <v>44</v>
      </c>
      <c r="C8" s="26" t="s">
        <v>47</v>
      </c>
      <c r="D8" s="26" t="s">
        <v>175</v>
      </c>
      <c r="E8" s="26" t="s">
        <v>302</v>
      </c>
      <c r="F8" s="26" t="s">
        <v>106</v>
      </c>
      <c r="G8" s="26" t="s">
        <v>303</v>
      </c>
      <c r="H8" s="27" t="n">
        <v>947</v>
      </c>
      <c r="I8" s="27" t="n">
        <v>947</v>
      </c>
      <c r="J8" s="28" t="n">
        <v>0.1</v>
      </c>
      <c r="K8" s="27" t="n">
        <f aca="false">ROUND(I8*J8,2)</f>
        <v>94.7</v>
      </c>
      <c r="L8" s="29" t="s">
        <v>292</v>
      </c>
      <c r="M8" s="26" t="s">
        <v>174</v>
      </c>
    </row>
    <row r="9" customFormat="false" ht="15" hidden="false" customHeight="false" outlineLevel="0" collapsed="false">
      <c r="A9" s="26" t="s">
        <v>48</v>
      </c>
      <c r="B9" s="26" t="s">
        <v>44</v>
      </c>
      <c r="C9" s="26" t="s">
        <v>47</v>
      </c>
      <c r="D9" s="26" t="s">
        <v>45</v>
      </c>
      <c r="E9" s="26" t="s">
        <v>304</v>
      </c>
      <c r="F9" s="26" t="s">
        <v>25</v>
      </c>
      <c r="G9" s="26" t="s">
        <v>297</v>
      </c>
      <c r="H9" s="27" t="n">
        <v>1175</v>
      </c>
      <c r="I9" s="27" t="n">
        <v>1175</v>
      </c>
      <c r="J9" s="28" t="n">
        <v>0.12</v>
      </c>
      <c r="K9" s="27" t="n">
        <f aca="false">ROUND(I9*J9,2)</f>
        <v>141</v>
      </c>
      <c r="L9" s="29" t="s">
        <v>292</v>
      </c>
      <c r="M9" s="26" t="s">
        <v>43</v>
      </c>
    </row>
    <row r="10" customFormat="false" ht="15" hidden="false" customHeight="false" outlineLevel="0" collapsed="false">
      <c r="A10" s="26" t="s">
        <v>53</v>
      </c>
      <c r="B10" s="26" t="s">
        <v>44</v>
      </c>
      <c r="C10" s="26" t="s">
        <v>47</v>
      </c>
      <c r="D10" s="26" t="s">
        <v>50</v>
      </c>
      <c r="E10" s="26" t="s">
        <v>305</v>
      </c>
      <c r="F10" s="26" t="s">
        <v>290</v>
      </c>
      <c r="G10" s="26" t="s">
        <v>295</v>
      </c>
      <c r="H10" s="27" t="n">
        <v>-277</v>
      </c>
      <c r="I10" s="27" t="n">
        <v>-277</v>
      </c>
      <c r="J10" s="28" t="n">
        <v>0.14</v>
      </c>
      <c r="K10" s="27" t="n">
        <f aca="false">ROUND(I10*J10,2)</f>
        <v>-38.78</v>
      </c>
      <c r="L10" s="29" t="s">
        <v>292</v>
      </c>
      <c r="M10" s="26" t="s">
        <v>49</v>
      </c>
    </row>
    <row r="11" customFormat="false" ht="15" hidden="false" customHeight="false" outlineLevel="0" collapsed="false">
      <c r="A11" s="26" t="s">
        <v>53</v>
      </c>
      <c r="B11" s="26" t="s">
        <v>44</v>
      </c>
      <c r="C11" s="26" t="s">
        <v>47</v>
      </c>
      <c r="D11" s="26" t="s">
        <v>50</v>
      </c>
      <c r="E11" s="26" t="s">
        <v>305</v>
      </c>
      <c r="F11" s="26" t="s">
        <v>25</v>
      </c>
      <c r="G11" s="26" t="s">
        <v>295</v>
      </c>
      <c r="H11" s="27" t="n">
        <v>1935</v>
      </c>
      <c r="I11" s="27" t="n">
        <v>1935</v>
      </c>
      <c r="J11" s="28" t="n">
        <v>0.14</v>
      </c>
      <c r="K11" s="27" t="n">
        <f aca="false">ROUND(I11*J11,2)</f>
        <v>270.9</v>
      </c>
      <c r="L11" s="29" t="s">
        <v>292</v>
      </c>
      <c r="M11" s="26" t="s">
        <v>49</v>
      </c>
    </row>
    <row r="12" customFormat="false" ht="15" hidden="false" customHeight="false" outlineLevel="0" collapsed="false">
      <c r="A12" s="26" t="s">
        <v>53</v>
      </c>
      <c r="B12" s="26" t="s">
        <v>44</v>
      </c>
      <c r="C12" s="26" t="s">
        <v>47</v>
      </c>
      <c r="D12" s="26" t="s">
        <v>50</v>
      </c>
      <c r="E12" s="26" t="s">
        <v>305</v>
      </c>
      <c r="F12" s="26" t="s">
        <v>290</v>
      </c>
      <c r="G12" s="26" t="s">
        <v>301</v>
      </c>
      <c r="H12" s="27" t="n">
        <v>-244.71</v>
      </c>
      <c r="I12" s="27" t="n">
        <v>-244.71</v>
      </c>
      <c r="J12" s="28" t="n">
        <v>0.14</v>
      </c>
      <c r="K12" s="27" t="n">
        <f aca="false">ROUND(I12*J12,2)</f>
        <v>-34.26</v>
      </c>
      <c r="L12" s="29" t="s">
        <v>292</v>
      </c>
      <c r="M12" s="26" t="s">
        <v>49</v>
      </c>
    </row>
    <row r="13" customFormat="false" ht="15" hidden="false" customHeight="false" outlineLevel="0" collapsed="false">
      <c r="A13" s="26" t="s">
        <v>57</v>
      </c>
      <c r="B13" s="26" t="s">
        <v>44</v>
      </c>
      <c r="C13" s="26" t="s">
        <v>47</v>
      </c>
      <c r="D13" s="26" t="s">
        <v>55</v>
      </c>
      <c r="E13" s="26" t="s">
        <v>306</v>
      </c>
      <c r="F13" s="26" t="s">
        <v>25</v>
      </c>
      <c r="G13" s="26" t="s">
        <v>307</v>
      </c>
      <c r="H13" s="27" t="n">
        <v>4319</v>
      </c>
      <c r="I13" s="27" t="n">
        <v>4319</v>
      </c>
      <c r="J13" s="28" t="n">
        <v>0.1</v>
      </c>
      <c r="K13" s="27" t="n">
        <f aca="false">ROUND(I13*J13,2)</f>
        <v>431.9</v>
      </c>
      <c r="L13" s="29" t="s">
        <v>292</v>
      </c>
      <c r="M13" s="26" t="s">
        <v>54</v>
      </c>
    </row>
    <row r="14" customFormat="false" ht="15" hidden="false" customHeight="false" outlineLevel="0" collapsed="false">
      <c r="A14" s="26" t="s">
        <v>61</v>
      </c>
      <c r="B14" s="26" t="s">
        <v>44</v>
      </c>
      <c r="C14" s="26" t="s">
        <v>47</v>
      </c>
      <c r="D14" s="26" t="s">
        <v>59</v>
      </c>
      <c r="E14" s="26" t="s">
        <v>308</v>
      </c>
      <c r="F14" s="26" t="s">
        <v>25</v>
      </c>
      <c r="G14" s="26" t="s">
        <v>309</v>
      </c>
      <c r="H14" s="27" t="n">
        <v>1071</v>
      </c>
      <c r="I14" s="27" t="n">
        <v>1071</v>
      </c>
      <c r="J14" s="28" t="n">
        <v>0.1</v>
      </c>
      <c r="K14" s="27" t="n">
        <f aca="false">ROUND(I14*J14,2)</f>
        <v>107.1</v>
      </c>
      <c r="L14" s="29" t="s">
        <v>292</v>
      </c>
      <c r="M14" s="26" t="s">
        <v>58</v>
      </c>
    </row>
    <row r="15" customFormat="false" ht="15" hidden="false" customHeight="false" outlineLevel="0" collapsed="false">
      <c r="A15" s="26" t="s">
        <v>67</v>
      </c>
      <c r="B15" s="26" t="s">
        <v>44</v>
      </c>
      <c r="C15" s="26" t="s">
        <v>47</v>
      </c>
      <c r="D15" s="26" t="s">
        <v>66</v>
      </c>
      <c r="E15" s="26" t="s">
        <v>310</v>
      </c>
      <c r="F15" s="26" t="s">
        <v>25</v>
      </c>
      <c r="G15" s="26" t="s">
        <v>309</v>
      </c>
      <c r="H15" s="27" t="n">
        <v>1568</v>
      </c>
      <c r="I15" s="27" t="n">
        <v>1568</v>
      </c>
      <c r="J15" s="28" t="n">
        <v>0.1</v>
      </c>
      <c r="K15" s="27" t="n">
        <f aca="false">ROUND(I15*J15,2)</f>
        <v>156.8</v>
      </c>
      <c r="L15" s="29" t="s">
        <v>292</v>
      </c>
      <c r="M15" s="26" t="s">
        <v>65</v>
      </c>
    </row>
    <row r="16" customFormat="false" ht="15" hidden="false" customHeight="false" outlineLevel="0" collapsed="false">
      <c r="A16" s="26" t="s">
        <v>83</v>
      </c>
      <c r="B16" s="26" t="s">
        <v>44</v>
      </c>
      <c r="C16" s="26" t="s">
        <v>47</v>
      </c>
      <c r="D16" s="26" t="s">
        <v>81</v>
      </c>
      <c r="E16" s="26" t="s">
        <v>311</v>
      </c>
      <c r="F16" s="26" t="s">
        <v>290</v>
      </c>
      <c r="G16" s="26" t="s">
        <v>303</v>
      </c>
      <c r="H16" s="27" t="n">
        <v>-86</v>
      </c>
      <c r="I16" s="27" t="n">
        <v>-86</v>
      </c>
      <c r="J16" s="28" t="n">
        <v>0.1</v>
      </c>
      <c r="K16" s="27" t="n">
        <f aca="false">ROUND(I16*J16,2)</f>
        <v>-8.6</v>
      </c>
      <c r="L16" s="29" t="s">
        <v>292</v>
      </c>
      <c r="M16" s="26" t="s">
        <v>80</v>
      </c>
    </row>
    <row r="17" customFormat="false" ht="15" hidden="false" customHeight="false" outlineLevel="0" collapsed="false">
      <c r="A17" s="26" t="s">
        <v>83</v>
      </c>
      <c r="B17" s="26" t="s">
        <v>44</v>
      </c>
      <c r="C17" s="26" t="s">
        <v>47</v>
      </c>
      <c r="D17" s="26" t="s">
        <v>81</v>
      </c>
      <c r="E17" s="26" t="s">
        <v>311</v>
      </c>
      <c r="F17" s="26" t="s">
        <v>25</v>
      </c>
      <c r="G17" s="26" t="s">
        <v>303</v>
      </c>
      <c r="H17" s="27" t="n">
        <v>1760</v>
      </c>
      <c r="I17" s="27" t="n">
        <v>1760</v>
      </c>
      <c r="J17" s="28" t="n">
        <v>0.1</v>
      </c>
      <c r="K17" s="27" t="n">
        <f aca="false">ROUND(I17*J17,2)</f>
        <v>176</v>
      </c>
      <c r="L17" s="29" t="s">
        <v>292</v>
      </c>
      <c r="M17" s="26" t="s">
        <v>80</v>
      </c>
    </row>
    <row r="18" customFormat="false" ht="15" hidden="false" customHeight="false" outlineLevel="0" collapsed="false">
      <c r="A18" s="26" t="s">
        <v>90</v>
      </c>
      <c r="B18" s="26" t="s">
        <v>44</v>
      </c>
      <c r="C18" s="26" t="s">
        <v>47</v>
      </c>
      <c r="D18" s="26" t="s">
        <v>89</v>
      </c>
      <c r="E18" s="26" t="s">
        <v>312</v>
      </c>
      <c r="F18" s="26" t="s">
        <v>25</v>
      </c>
      <c r="G18" s="26" t="s">
        <v>313</v>
      </c>
      <c r="H18" s="27" t="n">
        <v>1770</v>
      </c>
      <c r="I18" s="27" t="n">
        <v>1770</v>
      </c>
      <c r="J18" s="28" t="n">
        <v>0.12</v>
      </c>
      <c r="K18" s="27" t="n">
        <f aca="false">ROUND(I18*J18,2)</f>
        <v>212.4</v>
      </c>
      <c r="L18" s="29" t="s">
        <v>292</v>
      </c>
      <c r="M18" s="26" t="s">
        <v>88</v>
      </c>
    </row>
    <row r="19" customFormat="false" ht="15" hidden="false" customHeight="false" outlineLevel="0" collapsed="false">
      <c r="A19" s="26" t="s">
        <v>94</v>
      </c>
      <c r="B19" s="26" t="s">
        <v>44</v>
      </c>
      <c r="C19" s="26" t="s">
        <v>47</v>
      </c>
      <c r="D19" s="26" t="s">
        <v>92</v>
      </c>
      <c r="E19" s="26" t="s">
        <v>314</v>
      </c>
      <c r="F19" s="26" t="s">
        <v>25</v>
      </c>
      <c r="G19" s="26" t="s">
        <v>315</v>
      </c>
      <c r="H19" s="27" t="n">
        <v>370</v>
      </c>
      <c r="I19" s="27" t="n">
        <v>370</v>
      </c>
      <c r="J19" s="28" t="n">
        <v>0.1</v>
      </c>
      <c r="K19" s="27" t="n">
        <f aca="false">ROUND(I19*J19,2)</f>
        <v>37</v>
      </c>
      <c r="L19" s="29" t="s">
        <v>292</v>
      </c>
      <c r="M19" s="26" t="s">
        <v>91</v>
      </c>
    </row>
    <row r="20" customFormat="false" ht="15" hidden="false" customHeight="false" outlineLevel="0" collapsed="false">
      <c r="A20" s="26" t="s">
        <v>101</v>
      </c>
      <c r="B20" s="26" t="s">
        <v>44</v>
      </c>
      <c r="C20" s="26" t="s">
        <v>47</v>
      </c>
      <c r="D20" s="26" t="s">
        <v>100</v>
      </c>
      <c r="E20" s="26" t="s">
        <v>316</v>
      </c>
      <c r="F20" s="26" t="s">
        <v>25</v>
      </c>
      <c r="G20" s="26" t="s">
        <v>315</v>
      </c>
      <c r="H20" s="27" t="n">
        <v>1994</v>
      </c>
      <c r="I20" s="27" t="n">
        <v>1994</v>
      </c>
      <c r="J20" s="28" t="n">
        <v>0.1</v>
      </c>
      <c r="K20" s="27" t="n">
        <f aca="false">ROUND(I20*J20,2)</f>
        <v>199.4</v>
      </c>
      <c r="L20" s="29" t="s">
        <v>292</v>
      </c>
      <c r="M20" s="26" t="s">
        <v>99</v>
      </c>
    </row>
    <row r="21" customFormat="false" ht="15" hidden="false" customHeight="false" outlineLevel="0" collapsed="false">
      <c r="A21" s="26" t="s">
        <v>195</v>
      </c>
      <c r="B21" s="26" t="s">
        <v>44</v>
      </c>
      <c r="C21" s="26" t="s">
        <v>47</v>
      </c>
      <c r="D21" s="26" t="s">
        <v>194</v>
      </c>
      <c r="E21" s="26" t="s">
        <v>289</v>
      </c>
      <c r="F21" s="26" t="s">
        <v>106</v>
      </c>
      <c r="G21" s="26" t="s">
        <v>317</v>
      </c>
      <c r="H21" s="27" t="n">
        <v>678</v>
      </c>
      <c r="I21" s="27" t="n">
        <v>678</v>
      </c>
      <c r="J21" s="28" t="n">
        <v>0.1</v>
      </c>
      <c r="K21" s="27" t="n">
        <f aca="false">ROUND(I21*J21,2)</f>
        <v>67.8</v>
      </c>
      <c r="L21" s="29" t="s">
        <v>292</v>
      </c>
      <c r="M21" s="26" t="s">
        <v>130</v>
      </c>
    </row>
    <row r="22" customFormat="false" ht="15" hidden="false" customHeight="false" outlineLevel="0" collapsed="false">
      <c r="A22" s="26" t="s">
        <v>149</v>
      </c>
      <c r="B22" s="26" t="s">
        <v>44</v>
      </c>
      <c r="C22" s="26" t="s">
        <v>47</v>
      </c>
      <c r="D22" s="26" t="s">
        <v>147</v>
      </c>
      <c r="E22" s="26" t="s">
        <v>318</v>
      </c>
      <c r="F22" s="26" t="s">
        <v>106</v>
      </c>
      <c r="G22" s="26" t="s">
        <v>319</v>
      </c>
      <c r="H22" s="27" t="n">
        <v>1906</v>
      </c>
      <c r="I22" s="27" t="n">
        <v>1906</v>
      </c>
      <c r="J22" s="28" t="n">
        <v>0.1</v>
      </c>
      <c r="K22" s="27" t="n">
        <f aca="false">ROUND(I22*J22,2)</f>
        <v>190.6</v>
      </c>
      <c r="L22" s="29" t="s">
        <v>292</v>
      </c>
      <c r="M22" s="26" t="s">
        <v>146</v>
      </c>
    </row>
    <row r="23" customFormat="false" ht="15" hidden="false" customHeight="false" outlineLevel="0" collapsed="false">
      <c r="A23" s="26" t="s">
        <v>199</v>
      </c>
      <c r="B23" s="26" t="s">
        <v>44</v>
      </c>
      <c r="C23" s="26" t="s">
        <v>47</v>
      </c>
      <c r="D23" s="26" t="s">
        <v>197</v>
      </c>
      <c r="E23" s="26" t="s">
        <v>320</v>
      </c>
      <c r="F23" s="26" t="s">
        <v>106</v>
      </c>
      <c r="G23" s="26" t="s">
        <v>321</v>
      </c>
      <c r="H23" s="27" t="n">
        <v>1443</v>
      </c>
      <c r="I23" s="27" t="n">
        <v>1443</v>
      </c>
      <c r="J23" s="28" t="n">
        <v>0.1</v>
      </c>
      <c r="K23" s="27" t="n">
        <f aca="false">ROUND(I23*J23,2)</f>
        <v>144.3</v>
      </c>
      <c r="L23" s="29" t="s">
        <v>292</v>
      </c>
      <c r="M23" s="26" t="s">
        <v>196</v>
      </c>
    </row>
    <row r="24" customFormat="false" ht="15" hidden="false" customHeight="false" outlineLevel="0" collapsed="false">
      <c r="A24" s="26" t="s">
        <v>189</v>
      </c>
      <c r="B24" s="26" t="s">
        <v>44</v>
      </c>
      <c r="C24" s="26" t="s">
        <v>47</v>
      </c>
      <c r="D24" s="26" t="s">
        <v>187</v>
      </c>
      <c r="E24" s="26" t="s">
        <v>322</v>
      </c>
      <c r="F24" s="26" t="s">
        <v>106</v>
      </c>
      <c r="G24" s="26" t="s">
        <v>317</v>
      </c>
      <c r="H24" s="27" t="n">
        <v>1907</v>
      </c>
      <c r="I24" s="27" t="n">
        <v>1907</v>
      </c>
      <c r="J24" s="28" t="n">
        <v>0.1</v>
      </c>
      <c r="K24" s="27" t="n">
        <f aca="false">ROUND(I24*J24,2)</f>
        <v>190.7</v>
      </c>
      <c r="L24" s="29" t="s">
        <v>292</v>
      </c>
      <c r="M24" s="26" t="s">
        <v>186</v>
      </c>
    </row>
    <row r="25" customFormat="false" ht="15" hidden="false" customHeight="false" outlineLevel="0" collapsed="false">
      <c r="A25" s="26" t="s">
        <v>173</v>
      </c>
      <c r="B25" s="26" t="s">
        <v>44</v>
      </c>
      <c r="C25" s="26" t="s">
        <v>47</v>
      </c>
      <c r="D25" s="26" t="s">
        <v>171</v>
      </c>
      <c r="E25" s="26" t="s">
        <v>323</v>
      </c>
      <c r="F25" s="26" t="s">
        <v>106</v>
      </c>
      <c r="G25" s="26" t="s">
        <v>324</v>
      </c>
      <c r="H25" s="27" t="n">
        <v>794</v>
      </c>
      <c r="I25" s="27" t="n">
        <v>794</v>
      </c>
      <c r="J25" s="28" t="n">
        <v>0.1</v>
      </c>
      <c r="K25" s="27" t="n">
        <f aca="false">ROUND(I25*J25,2)</f>
        <v>79.4</v>
      </c>
      <c r="L25" s="29" t="s">
        <v>292</v>
      </c>
      <c r="M25" s="26" t="s">
        <v>170</v>
      </c>
    </row>
    <row r="26" customFormat="false" ht="15" hidden="false" customHeight="false" outlineLevel="0" collapsed="false">
      <c r="A26" s="26" t="s">
        <v>159</v>
      </c>
      <c r="B26" s="26" t="s">
        <v>44</v>
      </c>
      <c r="C26" s="26" t="s">
        <v>47</v>
      </c>
      <c r="D26" s="26" t="s">
        <v>157</v>
      </c>
      <c r="E26" s="26" t="s">
        <v>325</v>
      </c>
      <c r="F26" s="26" t="s">
        <v>106</v>
      </c>
      <c r="G26" s="26" t="s">
        <v>326</v>
      </c>
      <c r="H26" s="27" t="n">
        <v>1278</v>
      </c>
      <c r="I26" s="27" t="n">
        <v>1278</v>
      </c>
      <c r="J26" s="28" t="n">
        <v>0.1</v>
      </c>
      <c r="K26" s="27" t="n">
        <f aca="false">ROUND(I26*J26,2)</f>
        <v>127.8</v>
      </c>
      <c r="L26" s="29" t="s">
        <v>292</v>
      </c>
      <c r="M26" s="26" t="s">
        <v>156</v>
      </c>
    </row>
    <row r="27" customFormat="false" ht="15" hidden="false" customHeight="false" outlineLevel="0" collapsed="false">
      <c r="A27" s="26" t="s">
        <v>202</v>
      </c>
      <c r="B27" s="26" t="s">
        <v>44</v>
      </c>
      <c r="C27" s="26" t="s">
        <v>47</v>
      </c>
      <c r="D27" s="26" t="s">
        <v>201</v>
      </c>
      <c r="E27" s="26" t="s">
        <v>327</v>
      </c>
      <c r="F27" s="26" t="s">
        <v>106</v>
      </c>
      <c r="G27" s="26" t="s">
        <v>321</v>
      </c>
      <c r="H27" s="27" t="n">
        <v>948</v>
      </c>
      <c r="I27" s="27" t="n">
        <v>948</v>
      </c>
      <c r="J27" s="28" t="n">
        <v>0.1</v>
      </c>
      <c r="K27" s="27" t="n">
        <f aca="false">ROUND(I27*J27,2)</f>
        <v>94.8</v>
      </c>
      <c r="L27" s="29" t="s">
        <v>292</v>
      </c>
      <c r="M27" s="26" t="s">
        <v>200</v>
      </c>
    </row>
    <row r="28" customFormat="false" ht="15" hidden="false" customHeight="false" outlineLevel="0" collapsed="false">
      <c r="A28" s="26" t="s">
        <v>155</v>
      </c>
      <c r="B28" s="26" t="s">
        <v>44</v>
      </c>
      <c r="C28" s="26" t="s">
        <v>47</v>
      </c>
      <c r="D28" s="26" t="s">
        <v>154</v>
      </c>
      <c r="E28" s="26" t="s">
        <v>328</v>
      </c>
      <c r="F28" s="26" t="s">
        <v>106</v>
      </c>
      <c r="G28" s="26" t="s">
        <v>309</v>
      </c>
      <c r="H28" s="27" t="n">
        <v>1205</v>
      </c>
      <c r="I28" s="27" t="n">
        <v>1205</v>
      </c>
      <c r="J28" s="28" t="n">
        <v>0.1</v>
      </c>
      <c r="K28" s="27" t="n">
        <f aca="false">ROUND(I28*J28,2)</f>
        <v>120.5</v>
      </c>
      <c r="L28" s="29" t="s">
        <v>292</v>
      </c>
      <c r="M28" s="26" t="s">
        <v>153</v>
      </c>
    </row>
    <row r="29" customFormat="false" ht="15" hidden="false" customHeight="false" outlineLevel="0" collapsed="false">
      <c r="A29" s="26" t="s">
        <v>129</v>
      </c>
      <c r="B29" s="26" t="s">
        <v>44</v>
      </c>
      <c r="C29" s="26" t="s">
        <v>47</v>
      </c>
      <c r="D29" s="26" t="s">
        <v>128</v>
      </c>
      <c r="E29" s="26" t="s">
        <v>329</v>
      </c>
      <c r="F29" s="26" t="s">
        <v>106</v>
      </c>
      <c r="G29" s="26" t="s">
        <v>297</v>
      </c>
      <c r="H29" s="27" t="n">
        <v>854</v>
      </c>
      <c r="I29" s="27" t="n">
        <v>854</v>
      </c>
      <c r="J29" s="28" t="n">
        <v>0.1</v>
      </c>
      <c r="K29" s="27" t="n">
        <f aca="false">ROUND(I29*J29,2)</f>
        <v>85.4</v>
      </c>
      <c r="L29" s="29" t="s">
        <v>292</v>
      </c>
      <c r="M29" s="26" t="s">
        <v>127</v>
      </c>
    </row>
    <row r="30" customFormat="false" ht="15" hidden="false" customHeight="false" outlineLevel="0" collapsed="false">
      <c r="A30" s="26" t="s">
        <v>181</v>
      </c>
      <c r="B30" s="26" t="s">
        <v>44</v>
      </c>
      <c r="C30" s="26" t="s">
        <v>47</v>
      </c>
      <c r="D30" s="26" t="s">
        <v>179</v>
      </c>
      <c r="E30" s="26" t="s">
        <v>330</v>
      </c>
      <c r="F30" s="26" t="s">
        <v>106</v>
      </c>
      <c r="G30" s="26" t="s">
        <v>331</v>
      </c>
      <c r="H30" s="27" t="n">
        <v>949</v>
      </c>
      <c r="I30" s="27" t="n">
        <v>949</v>
      </c>
      <c r="J30" s="28" t="n">
        <v>0.1</v>
      </c>
      <c r="K30" s="27" t="n">
        <f aca="false">ROUND(I30*J30,2)</f>
        <v>94.9</v>
      </c>
      <c r="L30" s="29" t="s">
        <v>292</v>
      </c>
      <c r="M30" s="26" t="s">
        <v>177</v>
      </c>
    </row>
    <row r="31" customFormat="false" ht="15" hidden="false" customHeight="false" outlineLevel="0" collapsed="false">
      <c r="A31" s="26" t="s">
        <v>192</v>
      </c>
      <c r="B31" s="26" t="s">
        <v>44</v>
      </c>
      <c r="C31" s="26" t="s">
        <v>47</v>
      </c>
      <c r="D31" s="26" t="s">
        <v>191</v>
      </c>
      <c r="E31" s="26" t="s">
        <v>332</v>
      </c>
      <c r="F31" s="26" t="s">
        <v>106</v>
      </c>
      <c r="G31" s="26" t="s">
        <v>317</v>
      </c>
      <c r="H31" s="27" t="n">
        <v>564</v>
      </c>
      <c r="I31" s="27" t="n">
        <v>564</v>
      </c>
      <c r="J31" s="28" t="n">
        <v>0.1</v>
      </c>
      <c r="K31" s="27" t="n">
        <f aca="false">ROUND(I31*J31,2)</f>
        <v>56.4</v>
      </c>
      <c r="L31" s="29" t="s">
        <v>292</v>
      </c>
      <c r="M31" s="26" t="s">
        <v>190</v>
      </c>
    </row>
    <row r="32" customFormat="false" ht="15" hidden="false" customHeight="false" outlineLevel="0" collapsed="false">
      <c r="A32" s="26" t="s">
        <v>152</v>
      </c>
      <c r="B32" s="26" t="s">
        <v>44</v>
      </c>
      <c r="C32" s="26" t="s">
        <v>47</v>
      </c>
      <c r="D32" s="26" t="s">
        <v>151</v>
      </c>
      <c r="E32" s="26" t="s">
        <v>333</v>
      </c>
      <c r="F32" s="26" t="s">
        <v>106</v>
      </c>
      <c r="G32" s="26" t="s">
        <v>309</v>
      </c>
      <c r="H32" s="27" t="n">
        <v>2083</v>
      </c>
      <c r="I32" s="27" t="n">
        <v>2083</v>
      </c>
      <c r="J32" s="28" t="n">
        <v>0.1</v>
      </c>
      <c r="K32" s="27" t="n">
        <f aca="false">ROUND(I32*J32,2)</f>
        <v>208.3</v>
      </c>
      <c r="L32" s="29" t="s">
        <v>292</v>
      </c>
      <c r="M32" s="26" t="s">
        <v>150</v>
      </c>
    </row>
    <row r="33" customFormat="false" ht="15" hidden="false" customHeight="false" outlineLevel="0" collapsed="false">
      <c r="A33" s="26" t="s">
        <v>145</v>
      </c>
      <c r="B33" s="26" t="s">
        <v>44</v>
      </c>
      <c r="C33" s="26" t="s">
        <v>47</v>
      </c>
      <c r="D33" s="26" t="s">
        <v>143</v>
      </c>
      <c r="E33" s="26" t="s">
        <v>334</v>
      </c>
      <c r="F33" s="26" t="s">
        <v>106</v>
      </c>
      <c r="G33" s="26" t="s">
        <v>291</v>
      </c>
      <c r="H33" s="27" t="n">
        <v>2194</v>
      </c>
      <c r="I33" s="27" t="n">
        <v>2194</v>
      </c>
      <c r="J33" s="28" t="n">
        <v>0.1</v>
      </c>
      <c r="K33" s="27" t="n">
        <f aca="false">ROUND(I33*J33,2)</f>
        <v>219.4</v>
      </c>
      <c r="L33" s="29" t="s">
        <v>292</v>
      </c>
      <c r="M33" s="26" t="s">
        <v>142</v>
      </c>
    </row>
    <row r="34" customFormat="false" ht="15" hidden="false" customHeight="false" outlineLevel="0" collapsed="false">
      <c r="A34" s="26" t="s">
        <v>169</v>
      </c>
      <c r="B34" s="26" t="s">
        <v>44</v>
      </c>
      <c r="C34" s="26" t="s">
        <v>47</v>
      </c>
      <c r="D34" s="26" t="s">
        <v>168</v>
      </c>
      <c r="E34" s="26" t="s">
        <v>335</v>
      </c>
      <c r="F34" s="26" t="s">
        <v>106</v>
      </c>
      <c r="G34" s="26" t="s">
        <v>301</v>
      </c>
      <c r="H34" s="27" t="n">
        <v>1213</v>
      </c>
      <c r="I34" s="27" t="n">
        <v>1213</v>
      </c>
      <c r="J34" s="28" t="n">
        <v>0.1</v>
      </c>
      <c r="K34" s="27" t="n">
        <f aca="false">ROUND(I34*J34,2)</f>
        <v>121.3</v>
      </c>
      <c r="L34" s="29" t="s">
        <v>292</v>
      </c>
      <c r="M34" s="26" t="s">
        <v>167</v>
      </c>
    </row>
    <row r="35" customFormat="false" ht="15" hidden="false" customHeight="false" outlineLevel="0" collapsed="false">
      <c r="A35" s="26" t="s">
        <v>185</v>
      </c>
      <c r="B35" s="26" t="s">
        <v>44</v>
      </c>
      <c r="C35" s="26" t="s">
        <v>47</v>
      </c>
      <c r="D35" s="26" t="s">
        <v>183</v>
      </c>
      <c r="E35" s="26" t="s">
        <v>336</v>
      </c>
      <c r="F35" s="26" t="s">
        <v>106</v>
      </c>
      <c r="G35" s="26" t="s">
        <v>331</v>
      </c>
      <c r="H35" s="27" t="n">
        <v>619</v>
      </c>
      <c r="I35" s="27" t="n">
        <v>619</v>
      </c>
      <c r="J35" s="28" t="n">
        <v>0.1</v>
      </c>
      <c r="K35" s="27" t="n">
        <f aca="false">ROUND(I35*J35,2)</f>
        <v>61.9</v>
      </c>
      <c r="L35" s="29" t="s">
        <v>292</v>
      </c>
      <c r="M35" s="26" t="s">
        <v>182</v>
      </c>
    </row>
    <row r="36" customFormat="false" ht="15" hidden="false" customHeight="false" outlineLevel="0" collapsed="false">
      <c r="A36" s="2" t="s">
        <v>337</v>
      </c>
      <c r="B36" s="2" t="s">
        <v>44</v>
      </c>
      <c r="C36" s="2" t="s">
        <v>47</v>
      </c>
      <c r="D36" s="2" t="s">
        <v>338</v>
      </c>
      <c r="E36" s="2" t="s">
        <v>339</v>
      </c>
      <c r="F36" s="2" t="s">
        <v>340</v>
      </c>
      <c r="G36" s="2" t="s">
        <v>315</v>
      </c>
      <c r="H36" s="11" t="n">
        <v>1717</v>
      </c>
      <c r="I36" s="11" t="n">
        <v>1717</v>
      </c>
      <c r="J36" s="13" t="n">
        <v>0.1</v>
      </c>
      <c r="K36" s="11" t="n">
        <f aca="false">ROUND(I36*J36,2)</f>
        <v>171.7</v>
      </c>
      <c r="L36" s="10" t="s">
        <v>341</v>
      </c>
      <c r="M36" s="2"/>
    </row>
    <row r="37" customFormat="false" ht="15" hidden="false" customHeight="false" outlineLevel="0" collapsed="false">
      <c r="A37" s="2" t="s">
        <v>342</v>
      </c>
      <c r="B37" s="2" t="s">
        <v>44</v>
      </c>
      <c r="C37" s="2" t="s">
        <v>47</v>
      </c>
      <c r="D37" s="2" t="s">
        <v>343</v>
      </c>
      <c r="E37" s="2" t="s">
        <v>344</v>
      </c>
      <c r="F37" s="2" t="s">
        <v>290</v>
      </c>
      <c r="G37" s="2" t="s">
        <v>297</v>
      </c>
      <c r="H37" s="11" t="n">
        <v>-120.66</v>
      </c>
      <c r="I37" s="11" t="n">
        <v>-120.66</v>
      </c>
      <c r="J37" s="13" t="n">
        <v>0.1</v>
      </c>
      <c r="K37" s="11" t="n">
        <f aca="false">ROUND(I37*J37,2)</f>
        <v>-12.07</v>
      </c>
      <c r="L37" s="10" t="s">
        <v>341</v>
      </c>
      <c r="M37" s="2"/>
    </row>
    <row r="38" customFormat="false" ht="15" hidden="false" customHeight="false" outlineLevel="0" collapsed="false">
      <c r="A38" s="2" t="s">
        <v>345</v>
      </c>
      <c r="B38" s="2" t="s">
        <v>44</v>
      </c>
      <c r="C38" s="2" t="s">
        <v>47</v>
      </c>
      <c r="D38" s="2" t="s">
        <v>346</v>
      </c>
      <c r="E38" s="2" t="s">
        <v>347</v>
      </c>
      <c r="F38" s="2" t="s">
        <v>340</v>
      </c>
      <c r="G38" s="2" t="s">
        <v>297</v>
      </c>
      <c r="H38" s="11" t="n">
        <v>299.97</v>
      </c>
      <c r="I38" s="11" t="n">
        <v>299.97</v>
      </c>
      <c r="J38" s="13" t="n">
        <v>0.1</v>
      </c>
      <c r="K38" s="11" t="n">
        <f aca="false">ROUND(I38*J38,2)</f>
        <v>30</v>
      </c>
      <c r="L38" s="10" t="s">
        <v>341</v>
      </c>
      <c r="M38" s="2"/>
    </row>
    <row r="39" customFormat="false" ht="15" hidden="false" customHeight="false" outlineLevel="0" collapsed="false">
      <c r="A39" s="2" t="s">
        <v>348</v>
      </c>
      <c r="B39" s="2" t="s">
        <v>44</v>
      </c>
      <c r="C39" s="2" t="s">
        <v>47</v>
      </c>
      <c r="D39" s="2" t="s">
        <v>349</v>
      </c>
      <c r="E39" s="2" t="s">
        <v>350</v>
      </c>
      <c r="F39" s="2" t="s">
        <v>340</v>
      </c>
      <c r="G39" s="2" t="s">
        <v>293</v>
      </c>
      <c r="H39" s="11" t="n">
        <v>213.57</v>
      </c>
      <c r="I39" s="11" t="n">
        <v>213.57</v>
      </c>
      <c r="J39" s="13" t="n">
        <v>0.1</v>
      </c>
      <c r="K39" s="11" t="n">
        <f aca="false">ROUND(I39*J39,2)</f>
        <v>21.36</v>
      </c>
      <c r="L39" s="10" t="s">
        <v>341</v>
      </c>
      <c r="M39" s="2"/>
    </row>
    <row r="40" customFormat="false" ht="15" hidden="false" customHeight="false" outlineLevel="0" collapsed="false">
      <c r="A40" s="2" t="s">
        <v>351</v>
      </c>
      <c r="B40" s="2" t="s">
        <v>44</v>
      </c>
      <c r="C40" s="2" t="s">
        <v>47</v>
      </c>
      <c r="D40" s="2" t="s">
        <v>352</v>
      </c>
      <c r="E40" s="2" t="s">
        <v>353</v>
      </c>
      <c r="F40" s="2" t="s">
        <v>106</v>
      </c>
      <c r="G40" s="2" t="s">
        <v>301</v>
      </c>
      <c r="H40" s="11" t="n">
        <v>1135</v>
      </c>
      <c r="I40" s="11" t="n">
        <v>1135</v>
      </c>
      <c r="J40" s="13" t="n">
        <v>0.1</v>
      </c>
      <c r="K40" s="11" t="n">
        <f aca="false">ROUND(I40*J40,2)</f>
        <v>113.5</v>
      </c>
      <c r="L40" s="10" t="s">
        <v>341</v>
      </c>
      <c r="M40" s="2"/>
    </row>
    <row r="41" customFormat="false" ht="15" hidden="false" customHeight="false" outlineLevel="0" collapsed="false">
      <c r="A41" s="2" t="s">
        <v>354</v>
      </c>
      <c r="B41" s="2" t="s">
        <v>44</v>
      </c>
      <c r="C41" s="2" t="s">
        <v>47</v>
      </c>
      <c r="D41" s="2" t="s">
        <v>355</v>
      </c>
      <c r="E41" s="2" t="s">
        <v>356</v>
      </c>
      <c r="F41" s="2" t="s">
        <v>106</v>
      </c>
      <c r="G41" s="2" t="s">
        <v>324</v>
      </c>
      <c r="H41" s="11" t="n">
        <v>1103</v>
      </c>
      <c r="I41" s="11" t="n">
        <v>1103</v>
      </c>
      <c r="J41" s="13" t="n">
        <v>0.1</v>
      </c>
      <c r="K41" s="11" t="n">
        <f aca="false">ROUND(I41*J41,2)</f>
        <v>110.3</v>
      </c>
      <c r="L41" s="10" t="s">
        <v>341</v>
      </c>
      <c r="M41" s="2"/>
    </row>
    <row r="42" customFormat="false" ht="15" hidden="false" customHeight="false" outlineLevel="0" collapsed="false">
      <c r="A42" s="2" t="s">
        <v>357</v>
      </c>
      <c r="B42" s="2" t="s">
        <v>44</v>
      </c>
      <c r="C42" s="2" t="s">
        <v>47</v>
      </c>
      <c r="D42" s="2" t="s">
        <v>358</v>
      </c>
      <c r="E42" s="2" t="s">
        <v>359</v>
      </c>
      <c r="F42" s="2" t="s">
        <v>106</v>
      </c>
      <c r="G42" s="2" t="s">
        <v>309</v>
      </c>
      <c r="H42" s="11" t="n">
        <v>534</v>
      </c>
      <c r="I42" s="11" t="n">
        <v>534</v>
      </c>
      <c r="J42" s="13" t="n">
        <v>0.1</v>
      </c>
      <c r="K42" s="11" t="n">
        <f aca="false">ROUND(I42*J42,2)</f>
        <v>53.4</v>
      </c>
      <c r="L42" s="10" t="s">
        <v>341</v>
      </c>
      <c r="M42" s="2"/>
    </row>
    <row r="43" customFormat="false" ht="15" hidden="false" customHeight="false" outlineLevel="0" collapsed="false">
      <c r="A43" s="2" t="s">
        <v>360</v>
      </c>
      <c r="B43" s="2" t="s">
        <v>44</v>
      </c>
      <c r="C43" s="2" t="s">
        <v>47</v>
      </c>
      <c r="D43" s="2" t="s">
        <v>361</v>
      </c>
      <c r="E43" s="2" t="s">
        <v>362</v>
      </c>
      <c r="F43" s="2" t="s">
        <v>106</v>
      </c>
      <c r="G43" s="2" t="s">
        <v>326</v>
      </c>
      <c r="H43" s="11" t="n">
        <v>1554</v>
      </c>
      <c r="I43" s="11" t="n">
        <v>1554</v>
      </c>
      <c r="J43" s="13" t="n">
        <v>0.1</v>
      </c>
      <c r="K43" s="11" t="n">
        <f aca="false">ROUND(I43*J43,2)</f>
        <v>155.4</v>
      </c>
      <c r="L43" s="10" t="s">
        <v>341</v>
      </c>
      <c r="M43" s="2"/>
    </row>
    <row r="44" customFormat="false" ht="15" hidden="false" customHeight="false" outlineLevel="0" collapsed="false">
      <c r="A44" s="2" t="s">
        <v>363</v>
      </c>
      <c r="B44" s="2" t="s">
        <v>44</v>
      </c>
      <c r="C44" s="2" t="s">
        <v>47</v>
      </c>
      <c r="D44" s="2" t="s">
        <v>364</v>
      </c>
      <c r="E44" s="2" t="s">
        <v>365</v>
      </c>
      <c r="F44" s="2" t="s">
        <v>106</v>
      </c>
      <c r="G44" s="2" t="s">
        <v>299</v>
      </c>
      <c r="H44" s="11" t="n">
        <v>1486</v>
      </c>
      <c r="I44" s="11" t="n">
        <v>1486</v>
      </c>
      <c r="J44" s="13" t="n">
        <v>0.1</v>
      </c>
      <c r="K44" s="11" t="n">
        <f aca="false">ROUND(I44*J44,2)</f>
        <v>148.6</v>
      </c>
      <c r="L44" s="10" t="s">
        <v>341</v>
      </c>
      <c r="M44" s="2"/>
    </row>
    <row r="45" customFormat="false" ht="15" hidden="false" customHeight="false" outlineLevel="0" collapsed="false">
      <c r="A45" s="2" t="s">
        <v>366</v>
      </c>
      <c r="B45" s="2" t="s">
        <v>44</v>
      </c>
      <c r="C45" s="2" t="s">
        <v>47</v>
      </c>
      <c r="D45" s="2" t="s">
        <v>367</v>
      </c>
      <c r="E45" s="2" t="s">
        <v>368</v>
      </c>
      <c r="F45" s="2" t="s">
        <v>340</v>
      </c>
      <c r="G45" s="2" t="s">
        <v>307</v>
      </c>
      <c r="H45" s="11" t="n">
        <v>1.96</v>
      </c>
      <c r="I45" s="11" t="n">
        <v>1.96</v>
      </c>
      <c r="J45" s="13" t="n">
        <v>0.14</v>
      </c>
      <c r="K45" s="11" t="n">
        <f aca="false">ROUND(I45*J45,2)</f>
        <v>0.27</v>
      </c>
      <c r="L45" s="10" t="s">
        <v>341</v>
      </c>
      <c r="M45" s="2"/>
    </row>
    <row r="46" customFormat="false" ht="15" hidden="false" customHeight="false" outlineLevel="0" collapsed="false">
      <c r="A46" s="2" t="s">
        <v>369</v>
      </c>
      <c r="B46" s="2" t="s">
        <v>44</v>
      </c>
      <c r="C46" s="2" t="s">
        <v>47</v>
      </c>
      <c r="D46" s="2" t="s">
        <v>370</v>
      </c>
      <c r="E46" s="2" t="s">
        <v>371</v>
      </c>
      <c r="F46" s="2" t="s">
        <v>106</v>
      </c>
      <c r="G46" s="2" t="s">
        <v>313</v>
      </c>
      <c r="H46" s="11" t="n">
        <v>476</v>
      </c>
      <c r="I46" s="11" t="n">
        <v>476</v>
      </c>
      <c r="J46" s="13" t="n">
        <v>0.1</v>
      </c>
      <c r="K46" s="11" t="n">
        <f aca="false">ROUND(I46*J46,2)</f>
        <v>47.6</v>
      </c>
      <c r="L46" s="10" t="s">
        <v>341</v>
      </c>
      <c r="M46" s="2"/>
    </row>
    <row r="47" customFormat="false" ht="15" hidden="false" customHeight="false" outlineLevel="0" collapsed="false">
      <c r="A47" s="2" t="s">
        <v>372</v>
      </c>
      <c r="B47" s="2" t="s">
        <v>44</v>
      </c>
      <c r="C47" s="2" t="s">
        <v>47</v>
      </c>
      <c r="D47" s="2" t="s">
        <v>373</v>
      </c>
      <c r="E47" s="2" t="s">
        <v>374</v>
      </c>
      <c r="F47" s="2" t="s">
        <v>106</v>
      </c>
      <c r="G47" s="2" t="s">
        <v>375</v>
      </c>
      <c r="H47" s="11" t="n">
        <v>1473</v>
      </c>
      <c r="I47" s="11" t="n">
        <v>1473</v>
      </c>
      <c r="J47" s="13" t="n">
        <v>0.1</v>
      </c>
      <c r="K47" s="11" t="n">
        <f aca="false">ROUND(I47*J47,2)</f>
        <v>147.3</v>
      </c>
      <c r="L47" s="10" t="s">
        <v>341</v>
      </c>
      <c r="M47" s="2"/>
    </row>
    <row r="48" customFormat="false" ht="15" hidden="false" customHeight="false" outlineLevel="0" collapsed="false">
      <c r="A48" s="2" t="s">
        <v>376</v>
      </c>
      <c r="B48" s="2" t="s">
        <v>44</v>
      </c>
      <c r="C48" s="2" t="s">
        <v>47</v>
      </c>
      <c r="D48" s="2" t="s">
        <v>377</v>
      </c>
      <c r="E48" s="2" t="s">
        <v>378</v>
      </c>
      <c r="F48" s="2" t="s">
        <v>379</v>
      </c>
      <c r="G48" s="2" t="s">
        <v>315</v>
      </c>
      <c r="H48" s="11" t="n">
        <v>-12.26</v>
      </c>
      <c r="I48" s="11" t="n">
        <v>-12.26</v>
      </c>
      <c r="J48" s="13" t="n">
        <v>0.1</v>
      </c>
      <c r="K48" s="11" t="n">
        <f aca="false">ROUND(I48*J48,2)</f>
        <v>-1.23</v>
      </c>
      <c r="L48" s="10" t="s">
        <v>341</v>
      </c>
      <c r="M48" s="2"/>
    </row>
    <row r="49" customFormat="false" ht="15" hidden="false" customHeight="false" outlineLevel="0" collapsed="false">
      <c r="A49" s="2" t="s">
        <v>380</v>
      </c>
      <c r="B49" s="2" t="s">
        <v>44</v>
      </c>
      <c r="C49" s="2" t="s">
        <v>47</v>
      </c>
      <c r="D49" s="2" t="s">
        <v>381</v>
      </c>
      <c r="E49" s="2" t="s">
        <v>382</v>
      </c>
      <c r="F49" s="2" t="s">
        <v>106</v>
      </c>
      <c r="G49" s="2" t="s">
        <v>321</v>
      </c>
      <c r="H49" s="11" t="n">
        <v>1062</v>
      </c>
      <c r="I49" s="11" t="n">
        <v>1062</v>
      </c>
      <c r="J49" s="13" t="n">
        <v>0.1</v>
      </c>
      <c r="K49" s="11" t="n">
        <f aca="false">ROUND(I49*J49,2)</f>
        <v>106.2</v>
      </c>
      <c r="L49" s="10" t="s">
        <v>341</v>
      </c>
      <c r="M49" s="2"/>
    </row>
    <row r="50" customFormat="false" ht="15" hidden="false" customHeight="false" outlineLevel="0" collapsed="false">
      <c r="A50" s="2" t="s">
        <v>383</v>
      </c>
      <c r="B50" s="2" t="s">
        <v>44</v>
      </c>
      <c r="C50" s="2" t="s">
        <v>47</v>
      </c>
      <c r="D50" s="2" t="s">
        <v>384</v>
      </c>
      <c r="E50" s="2" t="s">
        <v>385</v>
      </c>
      <c r="F50" s="2" t="s">
        <v>379</v>
      </c>
      <c r="G50" s="2" t="s">
        <v>386</v>
      </c>
      <c r="H50" s="11" t="n">
        <v>-47.64</v>
      </c>
      <c r="I50" s="11" t="n">
        <v>-47.64</v>
      </c>
      <c r="J50" s="13" t="n">
        <v>0.1</v>
      </c>
      <c r="K50" s="11" t="n">
        <f aca="false">ROUND(I50*J50,2)</f>
        <v>-4.76</v>
      </c>
      <c r="L50" s="10" t="s">
        <v>341</v>
      </c>
      <c r="M50" s="2"/>
    </row>
    <row r="51" customFormat="false" ht="15" hidden="false" customHeight="false" outlineLevel="0" collapsed="false">
      <c r="A51" s="2" t="s">
        <v>387</v>
      </c>
      <c r="B51" s="2" t="s">
        <v>44</v>
      </c>
      <c r="C51" s="2" t="s">
        <v>47</v>
      </c>
      <c r="D51" s="2" t="s">
        <v>388</v>
      </c>
      <c r="E51" s="2" t="s">
        <v>389</v>
      </c>
      <c r="F51" s="2" t="s">
        <v>106</v>
      </c>
      <c r="G51" s="2" t="s">
        <v>390</v>
      </c>
      <c r="H51" s="11" t="n">
        <v>1794</v>
      </c>
      <c r="I51" s="11" t="n">
        <v>1794</v>
      </c>
      <c r="J51" s="13" t="n">
        <v>0.1</v>
      </c>
      <c r="K51" s="11" t="n">
        <f aca="false">ROUND(I51*J51,2)</f>
        <v>179.4</v>
      </c>
      <c r="L51" s="10" t="s">
        <v>341</v>
      </c>
      <c r="M51" s="2"/>
    </row>
    <row r="52" customFormat="false" ht="15" hidden="false" customHeight="false" outlineLevel="0" collapsed="false">
      <c r="A52" s="2" t="s">
        <v>391</v>
      </c>
      <c r="B52" s="2" t="s">
        <v>44</v>
      </c>
      <c r="C52" s="2" t="s">
        <v>47</v>
      </c>
      <c r="D52" s="2" t="s">
        <v>392</v>
      </c>
      <c r="E52" s="2" t="s">
        <v>393</v>
      </c>
      <c r="F52" s="2" t="s">
        <v>106</v>
      </c>
      <c r="G52" s="2" t="s">
        <v>394</v>
      </c>
      <c r="H52" s="11" t="n">
        <v>1291</v>
      </c>
      <c r="I52" s="11" t="n">
        <v>1291</v>
      </c>
      <c r="J52" s="13" t="n">
        <v>0.1</v>
      </c>
      <c r="K52" s="11" t="n">
        <f aca="false">ROUND(I52*J52,2)</f>
        <v>129.1</v>
      </c>
      <c r="L52" s="10" t="s">
        <v>341</v>
      </c>
      <c r="M52" s="2"/>
    </row>
    <row r="53" customFormat="false" ht="15" hidden="false" customHeight="false" outlineLevel="0" collapsed="false">
      <c r="A53" s="2" t="s">
        <v>395</v>
      </c>
      <c r="B53" s="2" t="s">
        <v>44</v>
      </c>
      <c r="C53" s="2" t="s">
        <v>47</v>
      </c>
      <c r="D53" s="2" t="s">
        <v>396</v>
      </c>
      <c r="E53" s="2" t="s">
        <v>397</v>
      </c>
      <c r="F53" s="2" t="s">
        <v>379</v>
      </c>
      <c r="G53" s="2" t="s">
        <v>297</v>
      </c>
      <c r="H53" s="11" t="n">
        <v>-691.35</v>
      </c>
      <c r="I53" s="11" t="n">
        <v>-691.35</v>
      </c>
      <c r="J53" s="13" t="n">
        <v>0.1</v>
      </c>
      <c r="K53" s="11" t="n">
        <f aca="false">ROUND(I53*J53,2)</f>
        <v>-69.14</v>
      </c>
      <c r="L53" s="10" t="s">
        <v>341</v>
      </c>
      <c r="M53" s="2"/>
    </row>
    <row r="54" customFormat="false" ht="15" hidden="false" customHeight="false" outlineLevel="0" collapsed="false">
      <c r="A54" s="2" t="s">
        <v>398</v>
      </c>
      <c r="B54" s="2" t="s">
        <v>44</v>
      </c>
      <c r="C54" s="2" t="s">
        <v>47</v>
      </c>
      <c r="D54" s="2" t="s">
        <v>399</v>
      </c>
      <c r="E54" s="2" t="s">
        <v>400</v>
      </c>
      <c r="F54" s="2" t="s">
        <v>379</v>
      </c>
      <c r="G54" s="2" t="s">
        <v>324</v>
      </c>
      <c r="H54" s="11" t="n">
        <v>-281.63</v>
      </c>
      <c r="I54" s="11" t="n">
        <v>-281.63</v>
      </c>
      <c r="J54" s="13" t="n">
        <v>0.1</v>
      </c>
      <c r="K54" s="11" t="n">
        <f aca="false">ROUND(I54*J54,2)</f>
        <v>-28.16</v>
      </c>
      <c r="L54" s="10" t="s">
        <v>341</v>
      </c>
      <c r="M54" s="2"/>
    </row>
    <row r="55" customFormat="false" ht="15" hidden="false" customHeight="false" outlineLevel="0" collapsed="false">
      <c r="A55" s="2" t="s">
        <v>401</v>
      </c>
      <c r="B55" s="2" t="s">
        <v>44</v>
      </c>
      <c r="C55" s="2" t="s">
        <v>47</v>
      </c>
      <c r="D55" s="2" t="s">
        <v>402</v>
      </c>
      <c r="E55" s="2" t="s">
        <v>403</v>
      </c>
      <c r="F55" s="2" t="s">
        <v>290</v>
      </c>
      <c r="G55" s="2" t="s">
        <v>321</v>
      </c>
      <c r="H55" s="11" t="n">
        <v>-1.18</v>
      </c>
      <c r="I55" s="11" t="n">
        <v>-1.18</v>
      </c>
      <c r="J55" s="13" t="n">
        <v>0.14</v>
      </c>
      <c r="K55" s="11" t="n">
        <f aca="false">ROUND(I55*J55,2)</f>
        <v>-0.17</v>
      </c>
      <c r="L55" s="10" t="s">
        <v>341</v>
      </c>
      <c r="M55" s="2"/>
    </row>
    <row r="56" customFormat="false" ht="15" hidden="false" customHeight="false" outlineLevel="0" collapsed="false">
      <c r="A56" s="2" t="s">
        <v>404</v>
      </c>
      <c r="B56" s="2" t="s">
        <v>44</v>
      </c>
      <c r="C56" s="2" t="s">
        <v>47</v>
      </c>
      <c r="D56" s="2" t="s">
        <v>405</v>
      </c>
      <c r="E56" s="2" t="s">
        <v>406</v>
      </c>
      <c r="F56" s="2" t="s">
        <v>379</v>
      </c>
      <c r="G56" s="2" t="s">
        <v>407</v>
      </c>
      <c r="H56" s="11" t="n">
        <v>-592.29</v>
      </c>
      <c r="I56" s="11" t="n">
        <v>-592.29</v>
      </c>
      <c r="J56" s="13" t="n">
        <v>0.1</v>
      </c>
      <c r="K56" s="11" t="n">
        <f aca="false">ROUND(I56*J56,2)</f>
        <v>-59.23</v>
      </c>
      <c r="L56" s="10" t="s">
        <v>341</v>
      </c>
      <c r="M56" s="2"/>
    </row>
    <row r="57" customFormat="false" ht="15" hidden="false" customHeight="false" outlineLevel="0" collapsed="false">
      <c r="A57" s="2" t="s">
        <v>408</v>
      </c>
      <c r="B57" s="2" t="s">
        <v>44</v>
      </c>
      <c r="C57" s="2" t="s">
        <v>47</v>
      </c>
      <c r="D57" s="2" t="s">
        <v>409</v>
      </c>
      <c r="E57" s="2" t="s">
        <v>410</v>
      </c>
      <c r="F57" s="2" t="s">
        <v>379</v>
      </c>
      <c r="G57" s="2" t="s">
        <v>307</v>
      </c>
      <c r="H57" s="11" t="n">
        <v>-819.16</v>
      </c>
      <c r="I57" s="11" t="n">
        <v>-819.16</v>
      </c>
      <c r="J57" s="13" t="n">
        <v>0.12</v>
      </c>
      <c r="K57" s="11" t="n">
        <f aca="false">ROUND(I57*J57,2)</f>
        <v>-98.3</v>
      </c>
      <c r="L57" s="10" t="s">
        <v>341</v>
      </c>
      <c r="M57" s="2"/>
    </row>
    <row r="58" customFormat="false" ht="15" hidden="false" customHeight="false" outlineLevel="0" collapsed="false">
      <c r="A58" s="2" t="s">
        <v>411</v>
      </c>
      <c r="B58" s="2" t="s">
        <v>44</v>
      </c>
      <c r="C58" s="2" t="s">
        <v>47</v>
      </c>
      <c r="D58" s="2" t="s">
        <v>412</v>
      </c>
      <c r="E58" s="2" t="s">
        <v>413</v>
      </c>
      <c r="F58" s="2" t="s">
        <v>340</v>
      </c>
      <c r="G58" s="2" t="s">
        <v>291</v>
      </c>
      <c r="H58" s="11" t="n">
        <v>0</v>
      </c>
      <c r="I58" s="11" t="n">
        <v>0</v>
      </c>
      <c r="J58" s="13" t="n">
        <v>0.1</v>
      </c>
      <c r="K58" s="11" t="n">
        <f aca="false">ROUND(I58*J58,2)</f>
        <v>0</v>
      </c>
      <c r="L58" s="10" t="s">
        <v>341</v>
      </c>
      <c r="M58" s="2"/>
    </row>
    <row r="59" customFormat="false" ht="15" hidden="false" customHeight="false" outlineLevel="0" collapsed="false">
      <c r="A59" s="2" t="s">
        <v>414</v>
      </c>
      <c r="B59" s="2" t="s">
        <v>44</v>
      </c>
      <c r="C59" s="2" t="s">
        <v>47</v>
      </c>
      <c r="D59" s="2" t="s">
        <v>415</v>
      </c>
      <c r="E59" s="2" t="s">
        <v>416</v>
      </c>
      <c r="F59" s="2" t="s">
        <v>290</v>
      </c>
      <c r="G59" s="2" t="s">
        <v>321</v>
      </c>
      <c r="H59" s="11" t="n">
        <v>-169.06</v>
      </c>
      <c r="I59" s="11" t="n">
        <v>-169.06</v>
      </c>
      <c r="J59" s="13" t="n">
        <v>0.14</v>
      </c>
      <c r="K59" s="11" t="n">
        <f aca="false">ROUND(I59*J59,2)</f>
        <v>-23.67</v>
      </c>
      <c r="L59" s="10" t="s">
        <v>341</v>
      </c>
      <c r="M59" s="2"/>
    </row>
    <row r="60" customFormat="false" ht="15" hidden="false" customHeight="false" outlineLevel="0" collapsed="false">
      <c r="A60" s="2" t="s">
        <v>417</v>
      </c>
      <c r="B60" s="2" t="s">
        <v>44</v>
      </c>
      <c r="C60" s="2" t="s">
        <v>47</v>
      </c>
      <c r="D60" s="2" t="s">
        <v>418</v>
      </c>
      <c r="E60" s="2" t="s">
        <v>419</v>
      </c>
      <c r="F60" s="2" t="s">
        <v>290</v>
      </c>
      <c r="G60" s="2" t="s">
        <v>420</v>
      </c>
      <c r="H60" s="11" t="n">
        <v>-3017</v>
      </c>
      <c r="I60" s="11" t="n">
        <v>-3017</v>
      </c>
      <c r="J60" s="13" t="n">
        <v>0.1</v>
      </c>
      <c r="K60" s="11" t="n">
        <f aca="false">ROUND(I60*J60,2)</f>
        <v>-301.7</v>
      </c>
      <c r="L60" s="10" t="s">
        <v>341</v>
      </c>
      <c r="M60" s="2"/>
    </row>
    <row r="61" customFormat="false" ht="15" hidden="false" customHeight="false" outlineLevel="0" collapsed="false">
      <c r="A61" s="2" t="s">
        <v>421</v>
      </c>
      <c r="B61" s="2" t="s">
        <v>44</v>
      </c>
      <c r="C61" s="2" t="s">
        <v>47</v>
      </c>
      <c r="D61" s="2" t="s">
        <v>422</v>
      </c>
      <c r="E61" s="2" t="s">
        <v>423</v>
      </c>
      <c r="F61" s="2" t="s">
        <v>290</v>
      </c>
      <c r="G61" s="2" t="s">
        <v>424</v>
      </c>
      <c r="H61" s="11" t="n">
        <v>-133.12</v>
      </c>
      <c r="I61" s="11" t="n">
        <v>-133.12</v>
      </c>
      <c r="J61" s="13" t="n">
        <v>0.1</v>
      </c>
      <c r="K61" s="11" t="n">
        <f aca="false">ROUND(I61*J61,2)</f>
        <v>-13.31</v>
      </c>
      <c r="L61" s="10" t="s">
        <v>341</v>
      </c>
      <c r="M61" s="2"/>
    </row>
    <row r="62" customFormat="false" ht="15" hidden="false" customHeight="false" outlineLevel="0" collapsed="false">
      <c r="A62" s="2" t="s">
        <v>425</v>
      </c>
      <c r="B62" s="2" t="s">
        <v>44</v>
      </c>
      <c r="C62" s="2" t="s">
        <v>47</v>
      </c>
      <c r="D62" s="2" t="s">
        <v>426</v>
      </c>
      <c r="E62" s="2" t="s">
        <v>427</v>
      </c>
      <c r="F62" s="2" t="s">
        <v>290</v>
      </c>
      <c r="G62" s="2" t="s">
        <v>307</v>
      </c>
      <c r="H62" s="11" t="n">
        <v>-26.08</v>
      </c>
      <c r="I62" s="11" t="n">
        <v>-26.08</v>
      </c>
      <c r="J62" s="13" t="n">
        <v>0.1</v>
      </c>
      <c r="K62" s="11" t="n">
        <f aca="false">ROUND(I62*J62,2)</f>
        <v>-2.61</v>
      </c>
      <c r="L62" s="10" t="s">
        <v>341</v>
      </c>
      <c r="M62" s="2"/>
    </row>
    <row r="63" customFormat="false" ht="15" hidden="false" customHeight="false" outlineLevel="0" collapsed="false">
      <c r="A63" s="2" t="s">
        <v>428</v>
      </c>
      <c r="B63" s="2" t="s">
        <v>44</v>
      </c>
      <c r="C63" s="2" t="s">
        <v>47</v>
      </c>
      <c r="D63" s="2" t="s">
        <v>429</v>
      </c>
      <c r="E63" s="2" t="s">
        <v>430</v>
      </c>
      <c r="F63" s="2" t="s">
        <v>340</v>
      </c>
      <c r="G63" s="2" t="s">
        <v>431</v>
      </c>
      <c r="H63" s="11" t="n">
        <v>258.68</v>
      </c>
      <c r="I63" s="11" t="n">
        <v>258.68</v>
      </c>
      <c r="J63" s="13" t="n">
        <v>0.12</v>
      </c>
      <c r="K63" s="11" t="n">
        <f aca="false">ROUND(I63*J63,2)</f>
        <v>31.04</v>
      </c>
      <c r="L63" s="10" t="s">
        <v>341</v>
      </c>
      <c r="M63" s="2"/>
    </row>
    <row r="64" customFormat="false" ht="15" hidden="false" customHeight="false" outlineLevel="0" collapsed="false">
      <c r="A64" s="2" t="s">
        <v>428</v>
      </c>
      <c r="B64" s="2" t="s">
        <v>44</v>
      </c>
      <c r="C64" s="2" t="s">
        <v>47</v>
      </c>
      <c r="D64" s="2" t="s">
        <v>429</v>
      </c>
      <c r="E64" s="2" t="s">
        <v>430</v>
      </c>
      <c r="F64" s="2" t="s">
        <v>290</v>
      </c>
      <c r="G64" s="2" t="s">
        <v>313</v>
      </c>
      <c r="H64" s="11" t="n">
        <v>-178.61</v>
      </c>
      <c r="I64" s="11" t="n">
        <v>-178.61</v>
      </c>
      <c r="J64" s="13" t="n">
        <v>0.12</v>
      </c>
      <c r="K64" s="11" t="n">
        <f aca="false">ROUND(I64*J64,2)</f>
        <v>-21.43</v>
      </c>
      <c r="L64" s="10" t="s">
        <v>341</v>
      </c>
      <c r="M64" s="2"/>
    </row>
    <row r="65" customFormat="false" ht="15" hidden="false" customHeight="false" outlineLevel="0" collapsed="false">
      <c r="A65" s="2" t="s">
        <v>432</v>
      </c>
      <c r="B65" s="2" t="s">
        <v>44</v>
      </c>
      <c r="C65" s="2" t="s">
        <v>47</v>
      </c>
      <c r="D65" s="2" t="s">
        <v>433</v>
      </c>
      <c r="E65" s="2" t="s">
        <v>434</v>
      </c>
      <c r="F65" s="2" t="s">
        <v>379</v>
      </c>
      <c r="G65" s="2" t="s">
        <v>435</v>
      </c>
      <c r="H65" s="11" t="n">
        <v>-1115.33</v>
      </c>
      <c r="I65" s="11" t="n">
        <v>-1115.33</v>
      </c>
      <c r="J65" s="13" t="n">
        <v>0.1</v>
      </c>
      <c r="K65" s="11" t="n">
        <f aca="false">ROUND(I65*J65,2)</f>
        <v>-111.53</v>
      </c>
      <c r="L65" s="10" t="s">
        <v>341</v>
      </c>
      <c r="M65" s="2"/>
    </row>
    <row r="66" customFormat="false" ht="15" hidden="false" customHeight="false" outlineLevel="0" collapsed="false">
      <c r="A66" s="2" t="s">
        <v>432</v>
      </c>
      <c r="B66" s="2" t="s">
        <v>44</v>
      </c>
      <c r="C66" s="2" t="s">
        <v>47</v>
      </c>
      <c r="D66" s="2" t="s">
        <v>433</v>
      </c>
      <c r="E66" s="2" t="s">
        <v>434</v>
      </c>
      <c r="F66" s="2" t="s">
        <v>436</v>
      </c>
      <c r="G66" s="2" t="s">
        <v>435</v>
      </c>
      <c r="H66" s="11" t="n">
        <v>1115.33</v>
      </c>
      <c r="I66" s="11" t="n">
        <v>1115.33</v>
      </c>
      <c r="J66" s="13" t="n">
        <v>0.1</v>
      </c>
      <c r="K66" s="11" t="n">
        <f aca="false">ROUND(I66*J66,2)</f>
        <v>111.53</v>
      </c>
      <c r="L66" s="10" t="s">
        <v>341</v>
      </c>
      <c r="M66" s="2"/>
    </row>
    <row r="67" customFormat="false" ht="15" hidden="false" customHeight="false" outlineLevel="0" collapsed="false">
      <c r="A67" s="2" t="s">
        <v>432</v>
      </c>
      <c r="B67" s="2" t="s">
        <v>44</v>
      </c>
      <c r="C67" s="2" t="s">
        <v>47</v>
      </c>
      <c r="D67" s="2" t="s">
        <v>433</v>
      </c>
      <c r="E67" s="2" t="s">
        <v>434</v>
      </c>
      <c r="F67" s="2" t="s">
        <v>379</v>
      </c>
      <c r="G67" s="2" t="s">
        <v>435</v>
      </c>
      <c r="H67" s="11" t="n">
        <v>-1115.33</v>
      </c>
      <c r="I67" s="11" t="n">
        <v>-1115.33</v>
      </c>
      <c r="J67" s="13" t="n">
        <v>0.1</v>
      </c>
      <c r="K67" s="11" t="n">
        <f aca="false">ROUND(I67*J67,2)</f>
        <v>-111.53</v>
      </c>
      <c r="L67" s="10" t="s">
        <v>341</v>
      </c>
      <c r="M67" s="2"/>
    </row>
    <row r="68" customFormat="false" ht="15" hidden="false" customHeight="false" outlineLevel="0" collapsed="false">
      <c r="A68" s="2" t="s">
        <v>437</v>
      </c>
      <c r="B68" s="2" t="s">
        <v>44</v>
      </c>
      <c r="C68" s="2" t="s">
        <v>47</v>
      </c>
      <c r="D68" s="2" t="s">
        <v>438</v>
      </c>
      <c r="E68" s="2" t="s">
        <v>439</v>
      </c>
      <c r="F68" s="2" t="s">
        <v>379</v>
      </c>
      <c r="G68" s="2" t="s">
        <v>386</v>
      </c>
      <c r="H68" s="11" t="n">
        <v>-736.55</v>
      </c>
      <c r="I68" s="11" t="n">
        <v>-736.55</v>
      </c>
      <c r="J68" s="13" t="n">
        <v>0.12</v>
      </c>
      <c r="K68" s="11" t="n">
        <f aca="false">ROUND(I68*J68,2)</f>
        <v>-88.39</v>
      </c>
      <c r="L68" s="10" t="s">
        <v>341</v>
      </c>
      <c r="M68" s="2"/>
    </row>
    <row r="69" customFormat="false" ht="15" hidden="false" customHeight="false" outlineLevel="0" collapsed="false">
      <c r="A69" s="2" t="s">
        <v>440</v>
      </c>
      <c r="B69" s="2" t="s">
        <v>44</v>
      </c>
      <c r="C69" s="2" t="s">
        <v>47</v>
      </c>
      <c r="D69" s="2" t="s">
        <v>441</v>
      </c>
      <c r="E69" s="2" t="s">
        <v>442</v>
      </c>
      <c r="F69" s="2" t="s">
        <v>436</v>
      </c>
      <c r="G69" s="2" t="s">
        <v>431</v>
      </c>
      <c r="H69" s="11" t="n">
        <v>937.97</v>
      </c>
      <c r="I69" s="11" t="n">
        <v>937.97</v>
      </c>
      <c r="J69" s="13" t="n">
        <v>0.12</v>
      </c>
      <c r="K69" s="11" t="n">
        <f aca="false">ROUND(I69*J69,2)</f>
        <v>112.56</v>
      </c>
      <c r="L69" s="10" t="s">
        <v>341</v>
      </c>
      <c r="M69" s="2"/>
    </row>
    <row r="70" customFormat="false" ht="15" hidden="false" customHeight="false" outlineLevel="0" collapsed="false">
      <c r="A70" s="2" t="s">
        <v>440</v>
      </c>
      <c r="B70" s="2" t="s">
        <v>44</v>
      </c>
      <c r="C70" s="2" t="s">
        <v>47</v>
      </c>
      <c r="D70" s="2" t="s">
        <v>441</v>
      </c>
      <c r="E70" s="2" t="s">
        <v>442</v>
      </c>
      <c r="F70" s="2" t="s">
        <v>379</v>
      </c>
      <c r="G70" s="2" t="s">
        <v>431</v>
      </c>
      <c r="H70" s="11" t="n">
        <v>-937.97</v>
      </c>
      <c r="I70" s="11" t="n">
        <v>-937.97</v>
      </c>
      <c r="J70" s="13" t="n">
        <v>0.12</v>
      </c>
      <c r="K70" s="11" t="n">
        <f aca="false">ROUND(I70*J70,2)</f>
        <v>-112.56</v>
      </c>
      <c r="L70" s="10" t="s">
        <v>341</v>
      </c>
      <c r="M70" s="2"/>
    </row>
    <row r="71" customFormat="false" ht="15" hidden="false" customHeight="false" outlineLevel="0" collapsed="false">
      <c r="A71" s="2" t="s">
        <v>443</v>
      </c>
      <c r="B71" s="2" t="s">
        <v>44</v>
      </c>
      <c r="C71" s="2" t="s">
        <v>47</v>
      </c>
      <c r="D71" s="2" t="s">
        <v>444</v>
      </c>
      <c r="E71" s="2" t="s">
        <v>445</v>
      </c>
      <c r="F71" s="2" t="s">
        <v>379</v>
      </c>
      <c r="G71" s="2" t="s">
        <v>386</v>
      </c>
      <c r="H71" s="11" t="n">
        <v>-579.3</v>
      </c>
      <c r="I71" s="11" t="n">
        <v>-579.3</v>
      </c>
      <c r="J71" s="13" t="n">
        <v>0.1</v>
      </c>
      <c r="K71" s="11" t="n">
        <f aca="false">ROUND(I71*J71,2)</f>
        <v>-57.93</v>
      </c>
      <c r="L71" s="10" t="s">
        <v>341</v>
      </c>
      <c r="M71" s="2"/>
    </row>
    <row r="72" customFormat="false" ht="15" hidden="false" customHeight="false" outlineLevel="0" collapsed="false">
      <c r="A72" s="2" t="s">
        <v>446</v>
      </c>
      <c r="B72" s="2" t="s">
        <v>44</v>
      </c>
      <c r="C72" s="2" t="s">
        <v>47</v>
      </c>
      <c r="D72" s="2" t="s">
        <v>447</v>
      </c>
      <c r="E72" s="2" t="s">
        <v>448</v>
      </c>
      <c r="F72" s="2" t="s">
        <v>340</v>
      </c>
      <c r="G72" s="2" t="s">
        <v>449</v>
      </c>
      <c r="H72" s="11" t="n">
        <v>3485.43</v>
      </c>
      <c r="I72" s="11" t="n">
        <v>3485.43</v>
      </c>
      <c r="J72" s="13" t="n">
        <v>0.12</v>
      </c>
      <c r="K72" s="11" t="n">
        <f aca="false">ROUND(I72*J72,2)</f>
        <v>418.25</v>
      </c>
      <c r="L72" s="10" t="s">
        <v>341</v>
      </c>
      <c r="M72" s="2"/>
    </row>
    <row r="73" customFormat="false" ht="15" hidden="false" customHeight="false" outlineLevel="0" collapsed="false">
      <c r="A73" s="2" t="s">
        <v>446</v>
      </c>
      <c r="B73" s="2" t="s">
        <v>44</v>
      </c>
      <c r="C73" s="2" t="s">
        <v>47</v>
      </c>
      <c r="D73" s="2" t="s">
        <v>447</v>
      </c>
      <c r="E73" s="2" t="s">
        <v>448</v>
      </c>
      <c r="F73" s="2" t="s">
        <v>340</v>
      </c>
      <c r="G73" s="2" t="s">
        <v>450</v>
      </c>
      <c r="H73" s="11" t="n">
        <v>0</v>
      </c>
      <c r="I73" s="11" t="n">
        <v>0</v>
      </c>
      <c r="J73" s="13" t="n">
        <v>0.12</v>
      </c>
      <c r="K73" s="11" t="n">
        <f aca="false">ROUND(I73*J73,2)</f>
        <v>0</v>
      </c>
      <c r="L73" s="10" t="s">
        <v>341</v>
      </c>
      <c r="M73" s="2"/>
    </row>
    <row r="74" customFormat="false" ht="15" hidden="false" customHeight="false" outlineLevel="0" collapsed="false">
      <c r="A74" s="2" t="s">
        <v>446</v>
      </c>
      <c r="B74" s="2" t="s">
        <v>44</v>
      </c>
      <c r="C74" s="2" t="s">
        <v>47</v>
      </c>
      <c r="D74" s="2" t="s">
        <v>447</v>
      </c>
      <c r="E74" s="2" t="s">
        <v>448</v>
      </c>
      <c r="F74" s="2" t="s">
        <v>290</v>
      </c>
      <c r="G74" s="2" t="s">
        <v>451</v>
      </c>
      <c r="H74" s="11" t="n">
        <v>-3868.1</v>
      </c>
      <c r="I74" s="11" t="n">
        <v>-3868.1</v>
      </c>
      <c r="J74" s="13" t="n">
        <v>0.12</v>
      </c>
      <c r="K74" s="11" t="n">
        <f aca="false">ROUND(I74*J74,2)</f>
        <v>-464.17</v>
      </c>
      <c r="L74" s="10" t="s">
        <v>341</v>
      </c>
      <c r="M74" s="2"/>
    </row>
    <row r="75" customFormat="false" ht="15" hidden="false" customHeight="false" outlineLevel="0" collapsed="false">
      <c r="A75" s="2" t="s">
        <v>446</v>
      </c>
      <c r="B75" s="2" t="s">
        <v>44</v>
      </c>
      <c r="C75" s="2" t="s">
        <v>47</v>
      </c>
      <c r="D75" s="2" t="s">
        <v>447</v>
      </c>
      <c r="E75" s="2" t="s">
        <v>448</v>
      </c>
      <c r="F75" s="2" t="s">
        <v>290</v>
      </c>
      <c r="G75" s="2" t="s">
        <v>321</v>
      </c>
      <c r="H75" s="11" t="n">
        <v>-43.61</v>
      </c>
      <c r="I75" s="11" t="n">
        <v>-43.61</v>
      </c>
      <c r="J75" s="13" t="n">
        <v>0.12</v>
      </c>
      <c r="K75" s="11" t="n">
        <f aca="false">ROUND(I75*J75,2)</f>
        <v>-5.23</v>
      </c>
      <c r="L75" s="10" t="s">
        <v>341</v>
      </c>
      <c r="M75" s="2"/>
    </row>
    <row r="76" customFormat="false" ht="15" hidden="false" customHeight="false" outlineLevel="0" collapsed="false">
      <c r="A76" s="2" t="s">
        <v>446</v>
      </c>
      <c r="B76" s="2" t="s">
        <v>44</v>
      </c>
      <c r="C76" s="2" t="s">
        <v>47</v>
      </c>
      <c r="D76" s="2" t="s">
        <v>447</v>
      </c>
      <c r="E76" s="2" t="s">
        <v>452</v>
      </c>
      <c r="F76" s="2" t="s">
        <v>379</v>
      </c>
      <c r="G76" s="2" t="s">
        <v>453</v>
      </c>
      <c r="H76" s="11" t="n">
        <v>-1826.16</v>
      </c>
      <c r="I76" s="11" t="n">
        <v>-1826.16</v>
      </c>
      <c r="J76" s="13" t="n">
        <v>0.12</v>
      </c>
      <c r="K76" s="11" t="n">
        <f aca="false">ROUND(I76*J76,2)</f>
        <v>-219.14</v>
      </c>
      <c r="L76" s="10" t="s">
        <v>341</v>
      </c>
      <c r="M76" s="2"/>
    </row>
    <row r="77" customFormat="false" ht="15" hidden="false" customHeight="false" outlineLevel="0" collapsed="false">
      <c r="A77" s="2" t="s">
        <v>446</v>
      </c>
      <c r="B77" s="2" t="s">
        <v>44</v>
      </c>
      <c r="C77" s="2" t="s">
        <v>47</v>
      </c>
      <c r="D77" s="2" t="s">
        <v>447</v>
      </c>
      <c r="E77" s="2" t="s">
        <v>452</v>
      </c>
      <c r="F77" s="2" t="s">
        <v>436</v>
      </c>
      <c r="G77" s="2" t="s">
        <v>453</v>
      </c>
      <c r="H77" s="11" t="n">
        <v>1826.16</v>
      </c>
      <c r="I77" s="11" t="n">
        <v>1826.16</v>
      </c>
      <c r="J77" s="13" t="n">
        <v>0.12</v>
      </c>
      <c r="K77" s="11" t="n">
        <f aca="false">ROUND(I77*J77,2)</f>
        <v>219.14</v>
      </c>
      <c r="L77" s="10" t="s">
        <v>341</v>
      </c>
      <c r="M77" s="2"/>
    </row>
    <row r="78" customFormat="false" ht="15" hidden="false" customHeight="false" outlineLevel="0" collapsed="false">
      <c r="A78" s="2" t="s">
        <v>454</v>
      </c>
      <c r="B78" s="2" t="s">
        <v>44</v>
      </c>
      <c r="C78" s="2" t="s">
        <v>47</v>
      </c>
      <c r="D78" s="2" t="s">
        <v>455</v>
      </c>
      <c r="E78" s="2" t="s">
        <v>456</v>
      </c>
      <c r="F78" s="2" t="s">
        <v>340</v>
      </c>
      <c r="G78" s="2" t="s">
        <v>424</v>
      </c>
      <c r="H78" s="11" t="n">
        <v>100.14</v>
      </c>
      <c r="I78" s="11" t="n">
        <v>100.14</v>
      </c>
      <c r="J78" s="13" t="n">
        <v>0.1</v>
      </c>
      <c r="K78" s="11" t="n">
        <f aca="false">ROUND(I78*J78,2)</f>
        <v>10.01</v>
      </c>
      <c r="L78" s="10" t="s">
        <v>341</v>
      </c>
      <c r="M78" s="2"/>
    </row>
    <row r="79" customFormat="false" ht="15" hidden="false" customHeight="false" outlineLevel="0" collapsed="false">
      <c r="A79" s="2" t="s">
        <v>454</v>
      </c>
      <c r="B79" s="2" t="s">
        <v>44</v>
      </c>
      <c r="C79" s="2" t="s">
        <v>47</v>
      </c>
      <c r="D79" s="2" t="s">
        <v>455</v>
      </c>
      <c r="E79" s="2" t="s">
        <v>456</v>
      </c>
      <c r="F79" s="2" t="s">
        <v>379</v>
      </c>
      <c r="G79" s="2" t="s">
        <v>457</v>
      </c>
      <c r="H79" s="11" t="n">
        <v>-1413.68</v>
      </c>
      <c r="I79" s="11" t="n">
        <v>-1413.68</v>
      </c>
      <c r="J79" s="13" t="n">
        <v>0.1</v>
      </c>
      <c r="K79" s="11" t="n">
        <f aca="false">ROUND(I79*J79,2)</f>
        <v>-141.37</v>
      </c>
      <c r="L79" s="10" t="s">
        <v>341</v>
      </c>
      <c r="M79" s="2"/>
    </row>
    <row r="80" customFormat="false" ht="15" hidden="false" customHeight="false" outlineLevel="0" collapsed="false">
      <c r="A80" s="2" t="s">
        <v>458</v>
      </c>
      <c r="B80" s="2" t="s">
        <v>44</v>
      </c>
      <c r="C80" s="2" t="s">
        <v>47</v>
      </c>
      <c r="D80" s="2" t="s">
        <v>459</v>
      </c>
      <c r="E80" s="2" t="s">
        <v>460</v>
      </c>
      <c r="F80" s="2" t="s">
        <v>290</v>
      </c>
      <c r="G80" s="2" t="s">
        <v>321</v>
      </c>
      <c r="H80" s="11" t="n">
        <v>-108.21</v>
      </c>
      <c r="I80" s="11" t="n">
        <v>-108.21</v>
      </c>
      <c r="J80" s="13" t="n">
        <v>0.12</v>
      </c>
      <c r="K80" s="11" t="n">
        <f aca="false">ROUND(I80*J80,2)</f>
        <v>-12.99</v>
      </c>
      <c r="L80" s="10" t="s">
        <v>341</v>
      </c>
      <c r="M80" s="2"/>
    </row>
    <row r="81" customFormat="false" ht="15" hidden="false" customHeight="false" outlineLevel="0" collapsed="false">
      <c r="A81" s="2" t="s">
        <v>461</v>
      </c>
      <c r="B81" s="2" t="s">
        <v>44</v>
      </c>
      <c r="C81" s="2" t="s">
        <v>47</v>
      </c>
      <c r="D81" s="2" t="s">
        <v>462</v>
      </c>
      <c r="E81" s="2" t="s">
        <v>463</v>
      </c>
      <c r="F81" s="2" t="s">
        <v>379</v>
      </c>
      <c r="G81" s="2" t="s">
        <v>386</v>
      </c>
      <c r="H81" s="11" t="n">
        <v>-1684.68</v>
      </c>
      <c r="I81" s="11" t="n">
        <v>-1684.68</v>
      </c>
      <c r="J81" s="13" t="n">
        <v>0.12</v>
      </c>
      <c r="K81" s="11" t="n">
        <f aca="false">ROUND(I81*J81,2)</f>
        <v>-202.16</v>
      </c>
      <c r="L81" s="10" t="s">
        <v>341</v>
      </c>
      <c r="M81" s="2"/>
    </row>
    <row r="82" customFormat="false" ht="15" hidden="false" customHeight="false" outlineLevel="0" collapsed="false">
      <c r="A82" s="2" t="s">
        <v>464</v>
      </c>
      <c r="B82" s="2" t="s">
        <v>44</v>
      </c>
      <c r="C82" s="2" t="s">
        <v>47</v>
      </c>
      <c r="D82" s="2" t="s">
        <v>465</v>
      </c>
      <c r="E82" s="2" t="s">
        <v>466</v>
      </c>
      <c r="F82" s="2" t="s">
        <v>340</v>
      </c>
      <c r="G82" s="2" t="s">
        <v>467</v>
      </c>
      <c r="H82" s="11" t="n">
        <v>49.22</v>
      </c>
      <c r="I82" s="11" t="n">
        <v>49.22</v>
      </c>
      <c r="J82" s="13" t="n">
        <v>0.14</v>
      </c>
      <c r="K82" s="11" t="n">
        <f aca="false">ROUND(I82*J82,2)</f>
        <v>6.89</v>
      </c>
      <c r="L82" s="10" t="s">
        <v>341</v>
      </c>
      <c r="M82" s="2"/>
    </row>
    <row r="83" customFormat="false" ht="15" hidden="false" customHeight="false" outlineLevel="0" collapsed="false">
      <c r="A83" s="2" t="s">
        <v>468</v>
      </c>
      <c r="B83" s="2" t="s">
        <v>44</v>
      </c>
      <c r="C83" s="2" t="s">
        <v>47</v>
      </c>
      <c r="D83" s="2" t="s">
        <v>469</v>
      </c>
      <c r="E83" s="2" t="s">
        <v>470</v>
      </c>
      <c r="F83" s="2" t="s">
        <v>340</v>
      </c>
      <c r="G83" s="2" t="s">
        <v>471</v>
      </c>
      <c r="H83" s="11" t="n">
        <v>38</v>
      </c>
      <c r="I83" s="11" t="n">
        <v>38</v>
      </c>
      <c r="J83" s="13" t="n">
        <v>0.1</v>
      </c>
      <c r="K83" s="11" t="n">
        <f aca="false">ROUND(I83*J83,2)</f>
        <v>3.8</v>
      </c>
      <c r="L83" s="10" t="s">
        <v>341</v>
      </c>
      <c r="M83" s="2"/>
    </row>
    <row r="84" customFormat="false" ht="15" hidden="false" customHeight="false" outlineLevel="0" collapsed="false">
      <c r="A84" s="2" t="s">
        <v>468</v>
      </c>
      <c r="B84" s="2" t="s">
        <v>44</v>
      </c>
      <c r="C84" s="2" t="s">
        <v>47</v>
      </c>
      <c r="D84" s="2" t="s">
        <v>469</v>
      </c>
      <c r="E84" s="2" t="s">
        <v>470</v>
      </c>
      <c r="F84" s="2" t="s">
        <v>340</v>
      </c>
      <c r="G84" s="2" t="s">
        <v>472</v>
      </c>
      <c r="H84" s="11" t="n">
        <v>4.52</v>
      </c>
      <c r="I84" s="11" t="n">
        <v>4.52</v>
      </c>
      <c r="J84" s="13" t="n">
        <v>0.1</v>
      </c>
      <c r="K84" s="11" t="n">
        <f aca="false">ROUND(I84*J84,2)</f>
        <v>0.45</v>
      </c>
      <c r="L84" s="10" t="s">
        <v>341</v>
      </c>
      <c r="M84" s="2"/>
    </row>
    <row r="85" customFormat="false" ht="15" hidden="false" customHeight="false" outlineLevel="0" collapsed="false">
      <c r="A85" s="2" t="s">
        <v>473</v>
      </c>
      <c r="B85" s="2" t="s">
        <v>44</v>
      </c>
      <c r="C85" s="2" t="s">
        <v>47</v>
      </c>
      <c r="D85" s="2" t="s">
        <v>474</v>
      </c>
      <c r="E85" s="2" t="s">
        <v>475</v>
      </c>
      <c r="F85" s="2" t="s">
        <v>340</v>
      </c>
      <c r="G85" s="2" t="s">
        <v>476</v>
      </c>
      <c r="H85" s="11" t="n">
        <v>219.93</v>
      </c>
      <c r="I85" s="11" t="n">
        <v>219.93</v>
      </c>
      <c r="J85" s="13" t="n">
        <v>0.1</v>
      </c>
      <c r="K85" s="11" t="n">
        <f aca="false">ROUND(I85*J85,2)</f>
        <v>21.99</v>
      </c>
      <c r="L85" s="10" t="s">
        <v>341</v>
      </c>
      <c r="M85" s="2"/>
    </row>
    <row r="86" customFormat="false" ht="15" hidden="false" customHeight="false" outlineLevel="0" collapsed="false">
      <c r="A86" s="2" t="s">
        <v>477</v>
      </c>
      <c r="B86" s="2" t="s">
        <v>44</v>
      </c>
      <c r="C86" s="2" t="s">
        <v>47</v>
      </c>
      <c r="D86" s="2" t="s">
        <v>478</v>
      </c>
      <c r="E86" s="2" t="s">
        <v>479</v>
      </c>
      <c r="F86" s="2" t="s">
        <v>340</v>
      </c>
      <c r="G86" s="2" t="s">
        <v>424</v>
      </c>
      <c r="H86" s="11" t="n">
        <v>76.89</v>
      </c>
      <c r="I86" s="11" t="n">
        <v>76.89</v>
      </c>
      <c r="J86" s="13" t="n">
        <v>0.1</v>
      </c>
      <c r="K86" s="11" t="n">
        <f aca="false">ROUND(I86*J86,2)</f>
        <v>7.69</v>
      </c>
      <c r="L86" s="10" t="s">
        <v>341</v>
      </c>
      <c r="M86" s="2"/>
    </row>
    <row r="87" customFormat="false" ht="15" hidden="false" customHeight="false" outlineLevel="0" collapsed="false">
      <c r="A87" s="2" t="s">
        <v>480</v>
      </c>
      <c r="B87" s="2" t="s">
        <v>44</v>
      </c>
      <c r="C87" s="2" t="s">
        <v>47</v>
      </c>
      <c r="D87" s="2" t="s">
        <v>481</v>
      </c>
      <c r="E87" s="2" t="s">
        <v>482</v>
      </c>
      <c r="F87" s="2" t="s">
        <v>290</v>
      </c>
      <c r="G87" s="2" t="s">
        <v>299</v>
      </c>
      <c r="H87" s="11" t="n">
        <v>-33.64</v>
      </c>
      <c r="I87" s="11" t="n">
        <v>-33.64</v>
      </c>
      <c r="J87" s="13" t="n">
        <v>0.14</v>
      </c>
      <c r="K87" s="11" t="n">
        <f aca="false">ROUND(I87*J87,2)</f>
        <v>-4.71</v>
      </c>
      <c r="L87" s="10" t="s">
        <v>341</v>
      </c>
      <c r="M87" s="2"/>
    </row>
    <row r="88" customFormat="false" ht="15" hidden="false" customHeight="false" outlineLevel="0" collapsed="false">
      <c r="A88" s="2" t="s">
        <v>483</v>
      </c>
      <c r="B88" s="2" t="s">
        <v>44</v>
      </c>
      <c r="C88" s="2" t="s">
        <v>47</v>
      </c>
      <c r="D88" s="2" t="s">
        <v>484</v>
      </c>
      <c r="E88" s="2" t="s">
        <v>485</v>
      </c>
      <c r="F88" s="2" t="s">
        <v>340</v>
      </c>
      <c r="G88" s="2" t="s">
        <v>319</v>
      </c>
      <c r="H88" s="11" t="n">
        <v>201.33</v>
      </c>
      <c r="I88" s="11" t="n">
        <v>201.33</v>
      </c>
      <c r="J88" s="13" t="n">
        <v>0.12</v>
      </c>
      <c r="K88" s="11" t="n">
        <f aca="false">ROUND(I88*J88,2)</f>
        <v>24.16</v>
      </c>
      <c r="L88" s="10" t="s">
        <v>341</v>
      </c>
      <c r="M88" s="2"/>
    </row>
    <row r="89" customFormat="false" ht="15" hidden="false" customHeight="false" outlineLevel="0" collapsed="false">
      <c r="A89" s="2" t="s">
        <v>483</v>
      </c>
      <c r="B89" s="2" t="s">
        <v>44</v>
      </c>
      <c r="C89" s="2" t="s">
        <v>47</v>
      </c>
      <c r="D89" s="2" t="s">
        <v>484</v>
      </c>
      <c r="E89" s="2" t="s">
        <v>485</v>
      </c>
      <c r="F89" s="2" t="s">
        <v>340</v>
      </c>
      <c r="G89" s="2" t="s">
        <v>319</v>
      </c>
      <c r="H89" s="11" t="n">
        <v>10.54</v>
      </c>
      <c r="I89" s="11" t="n">
        <v>10.54</v>
      </c>
      <c r="J89" s="13" t="n">
        <v>0.12</v>
      </c>
      <c r="K89" s="11" t="n">
        <f aca="false">ROUND(I89*J89,2)</f>
        <v>1.26</v>
      </c>
      <c r="L89" s="10" t="s">
        <v>341</v>
      </c>
      <c r="M89" s="2"/>
    </row>
    <row r="90" customFormat="false" ht="15" hidden="false" customHeight="false" outlineLevel="0" collapsed="false">
      <c r="A90" s="2" t="s">
        <v>483</v>
      </c>
      <c r="B90" s="2" t="s">
        <v>44</v>
      </c>
      <c r="C90" s="2" t="s">
        <v>47</v>
      </c>
      <c r="D90" s="2" t="s">
        <v>484</v>
      </c>
      <c r="E90" s="2" t="s">
        <v>485</v>
      </c>
      <c r="F90" s="2" t="s">
        <v>340</v>
      </c>
      <c r="G90" s="2" t="s">
        <v>486</v>
      </c>
      <c r="H90" s="11" t="n">
        <v>81</v>
      </c>
      <c r="I90" s="11" t="n">
        <v>81</v>
      </c>
      <c r="J90" s="13" t="n">
        <v>0.12</v>
      </c>
      <c r="K90" s="11" t="n">
        <f aca="false">ROUND(I90*J90,2)</f>
        <v>9.72</v>
      </c>
      <c r="L90" s="10" t="s">
        <v>341</v>
      </c>
      <c r="M90" s="2"/>
    </row>
    <row r="91" customFormat="false" ht="15" hidden="false" customHeight="false" outlineLevel="0" collapsed="false">
      <c r="A91" s="2" t="s">
        <v>487</v>
      </c>
      <c r="B91" s="2" t="s">
        <v>44</v>
      </c>
      <c r="C91" s="2" t="s">
        <v>47</v>
      </c>
      <c r="D91" s="2" t="s">
        <v>488</v>
      </c>
      <c r="E91" s="2" t="s">
        <v>489</v>
      </c>
      <c r="F91" s="2" t="s">
        <v>340</v>
      </c>
      <c r="G91" s="2" t="s">
        <v>299</v>
      </c>
      <c r="H91" s="11" t="n">
        <v>129.85</v>
      </c>
      <c r="I91" s="11" t="n">
        <v>129.85</v>
      </c>
      <c r="J91" s="13" t="n">
        <v>0.1</v>
      </c>
      <c r="K91" s="11" t="n">
        <f aca="false">ROUND(I91*J91,2)</f>
        <v>12.99</v>
      </c>
      <c r="L91" s="10" t="s">
        <v>341</v>
      </c>
      <c r="M91" s="2"/>
    </row>
    <row r="92" customFormat="false" ht="15" hidden="false" customHeight="false" outlineLevel="0" collapsed="false">
      <c r="A92" s="2" t="s">
        <v>490</v>
      </c>
      <c r="B92" s="2" t="s">
        <v>44</v>
      </c>
      <c r="C92" s="2" t="s">
        <v>47</v>
      </c>
      <c r="D92" s="2" t="s">
        <v>491</v>
      </c>
      <c r="E92" s="2" t="s">
        <v>492</v>
      </c>
      <c r="F92" s="2" t="s">
        <v>340</v>
      </c>
      <c r="G92" s="2" t="s">
        <v>493</v>
      </c>
      <c r="H92" s="11" t="n">
        <v>179</v>
      </c>
      <c r="I92" s="11" t="n">
        <v>179</v>
      </c>
      <c r="J92" s="13" t="n">
        <v>0.1</v>
      </c>
      <c r="K92" s="11" t="n">
        <f aca="false">ROUND(I92*J92,2)</f>
        <v>17.9</v>
      </c>
      <c r="L92" s="10" t="s">
        <v>341</v>
      </c>
      <c r="M92" s="2"/>
    </row>
    <row r="93" customFormat="false" ht="15" hidden="false" customHeight="false" outlineLevel="0" collapsed="false">
      <c r="A93" s="2" t="s">
        <v>490</v>
      </c>
      <c r="B93" s="2" t="s">
        <v>44</v>
      </c>
      <c r="C93" s="2" t="s">
        <v>47</v>
      </c>
      <c r="D93" s="2" t="s">
        <v>491</v>
      </c>
      <c r="E93" s="2" t="s">
        <v>492</v>
      </c>
      <c r="F93" s="2" t="s">
        <v>340</v>
      </c>
      <c r="G93" s="2" t="s">
        <v>493</v>
      </c>
      <c r="H93" s="11" t="n">
        <v>56</v>
      </c>
      <c r="I93" s="11" t="n">
        <v>56</v>
      </c>
      <c r="J93" s="13" t="n">
        <v>0.1</v>
      </c>
      <c r="K93" s="11" t="n">
        <f aca="false">ROUND(I93*J93,2)</f>
        <v>5.6</v>
      </c>
      <c r="L93" s="10" t="s">
        <v>341</v>
      </c>
      <c r="M93" s="2"/>
    </row>
    <row r="94" customFormat="false" ht="15" hidden="false" customHeight="false" outlineLevel="0" collapsed="false">
      <c r="A94" s="2" t="s">
        <v>490</v>
      </c>
      <c r="B94" s="2" t="s">
        <v>44</v>
      </c>
      <c r="C94" s="2" t="s">
        <v>47</v>
      </c>
      <c r="D94" s="2" t="s">
        <v>491</v>
      </c>
      <c r="E94" s="2" t="s">
        <v>492</v>
      </c>
      <c r="F94" s="2" t="s">
        <v>290</v>
      </c>
      <c r="G94" s="2" t="s">
        <v>386</v>
      </c>
      <c r="H94" s="11" t="n">
        <v>-8.59</v>
      </c>
      <c r="I94" s="11" t="n">
        <v>-8.59</v>
      </c>
      <c r="J94" s="13" t="n">
        <v>0.1</v>
      </c>
      <c r="K94" s="11" t="n">
        <f aca="false">ROUND(I94*J94,2)</f>
        <v>-0.86</v>
      </c>
      <c r="L94" s="10" t="s">
        <v>341</v>
      </c>
      <c r="M94" s="2"/>
    </row>
    <row r="95" customFormat="false" ht="15" hidden="false" customHeight="false" outlineLevel="0" collapsed="false">
      <c r="A95" s="2" t="s">
        <v>494</v>
      </c>
      <c r="B95" s="2" t="s">
        <v>44</v>
      </c>
      <c r="C95" s="2" t="s">
        <v>47</v>
      </c>
      <c r="D95" s="2" t="s">
        <v>495</v>
      </c>
      <c r="E95" s="2" t="s">
        <v>496</v>
      </c>
      <c r="F95" s="2" t="s">
        <v>340</v>
      </c>
      <c r="G95" s="2" t="s">
        <v>326</v>
      </c>
      <c r="H95" s="11" t="n">
        <v>138.55</v>
      </c>
      <c r="I95" s="11" t="n">
        <v>138.55</v>
      </c>
      <c r="J95" s="13" t="n">
        <v>0.1</v>
      </c>
      <c r="K95" s="11" t="n">
        <f aca="false">ROUND(I95*J95,2)</f>
        <v>13.86</v>
      </c>
      <c r="L95" s="10" t="s">
        <v>341</v>
      </c>
      <c r="M95" s="2"/>
    </row>
    <row r="96" customFormat="false" ht="15" hidden="false" customHeight="false" outlineLevel="0" collapsed="false">
      <c r="A96" s="2" t="s">
        <v>494</v>
      </c>
      <c r="B96" s="2" t="s">
        <v>44</v>
      </c>
      <c r="C96" s="2" t="s">
        <v>47</v>
      </c>
      <c r="D96" s="2" t="s">
        <v>495</v>
      </c>
      <c r="E96" s="2" t="s">
        <v>496</v>
      </c>
      <c r="F96" s="2" t="s">
        <v>340</v>
      </c>
      <c r="G96" s="2" t="s">
        <v>386</v>
      </c>
      <c r="H96" s="11" t="n">
        <v>42.02</v>
      </c>
      <c r="I96" s="11" t="n">
        <v>42.02</v>
      </c>
      <c r="J96" s="13" t="n">
        <v>0.1</v>
      </c>
      <c r="K96" s="11" t="n">
        <f aca="false">ROUND(I96*J96,2)</f>
        <v>4.2</v>
      </c>
      <c r="L96" s="10" t="s">
        <v>341</v>
      </c>
      <c r="M96" s="2"/>
    </row>
    <row r="97" customFormat="false" ht="15" hidden="false" customHeight="false" outlineLevel="0" collapsed="false">
      <c r="A97" s="2" t="s">
        <v>497</v>
      </c>
      <c r="B97" s="2" t="s">
        <v>44</v>
      </c>
      <c r="C97" s="2" t="s">
        <v>47</v>
      </c>
      <c r="D97" s="2" t="s">
        <v>498</v>
      </c>
      <c r="E97" s="2" t="s">
        <v>499</v>
      </c>
      <c r="F97" s="2" t="s">
        <v>340</v>
      </c>
      <c r="G97" s="2" t="s">
        <v>324</v>
      </c>
      <c r="H97" s="11" t="n">
        <v>111.76</v>
      </c>
      <c r="I97" s="11" t="n">
        <v>111.76</v>
      </c>
      <c r="J97" s="13" t="n">
        <v>0.12</v>
      </c>
      <c r="K97" s="11" t="n">
        <f aca="false">ROUND(I97*J97,2)</f>
        <v>13.41</v>
      </c>
      <c r="L97" s="10" t="s">
        <v>341</v>
      </c>
      <c r="M97" s="2"/>
    </row>
    <row r="98" customFormat="false" ht="15" hidden="false" customHeight="false" outlineLevel="0" collapsed="false">
      <c r="A98" s="2" t="s">
        <v>500</v>
      </c>
      <c r="B98" s="2" t="s">
        <v>44</v>
      </c>
      <c r="C98" s="2" t="s">
        <v>47</v>
      </c>
      <c r="D98" s="2" t="s">
        <v>501</v>
      </c>
      <c r="E98" s="2" t="s">
        <v>502</v>
      </c>
      <c r="F98" s="2" t="s">
        <v>340</v>
      </c>
      <c r="G98" s="2" t="s">
        <v>503</v>
      </c>
      <c r="H98" s="11" t="n">
        <v>56</v>
      </c>
      <c r="I98" s="11" t="n">
        <v>56</v>
      </c>
      <c r="J98" s="13" t="n">
        <v>0.12</v>
      </c>
      <c r="K98" s="11" t="n">
        <f aca="false">ROUND(I98*J98,2)</f>
        <v>6.72</v>
      </c>
      <c r="L98" s="10" t="s">
        <v>341</v>
      </c>
      <c r="M98" s="2"/>
    </row>
    <row r="99" customFormat="false" ht="15" hidden="false" customHeight="false" outlineLevel="0" collapsed="false">
      <c r="A99" s="2" t="s">
        <v>504</v>
      </c>
      <c r="B99" s="2" t="s">
        <v>44</v>
      </c>
      <c r="C99" s="2" t="s">
        <v>47</v>
      </c>
      <c r="D99" s="2" t="s">
        <v>505</v>
      </c>
      <c r="E99" s="2" t="s">
        <v>506</v>
      </c>
      <c r="F99" s="2" t="s">
        <v>340</v>
      </c>
      <c r="G99" s="2" t="s">
        <v>435</v>
      </c>
      <c r="H99" s="11" t="n">
        <v>141.18</v>
      </c>
      <c r="I99" s="11" t="n">
        <v>141.18</v>
      </c>
      <c r="J99" s="13" t="n">
        <v>0.1</v>
      </c>
      <c r="K99" s="11" t="n">
        <f aca="false">ROUND(I99*J99,2)</f>
        <v>14.12</v>
      </c>
      <c r="L99" s="10" t="s">
        <v>341</v>
      </c>
      <c r="M99" s="2"/>
    </row>
    <row r="100" customFormat="false" ht="15" hidden="false" customHeight="false" outlineLevel="0" collapsed="false">
      <c r="A100" s="2" t="s">
        <v>504</v>
      </c>
      <c r="B100" s="2" t="s">
        <v>44</v>
      </c>
      <c r="C100" s="2" t="s">
        <v>47</v>
      </c>
      <c r="D100" s="2" t="s">
        <v>505</v>
      </c>
      <c r="E100" s="2" t="s">
        <v>506</v>
      </c>
      <c r="F100" s="2" t="s">
        <v>340</v>
      </c>
      <c r="G100" s="2" t="s">
        <v>435</v>
      </c>
      <c r="H100" s="11" t="n">
        <v>6.05</v>
      </c>
      <c r="I100" s="11" t="n">
        <v>6.05</v>
      </c>
      <c r="J100" s="13" t="n">
        <v>0.1</v>
      </c>
      <c r="K100" s="11" t="n">
        <f aca="false">ROUND(I100*J100,2)</f>
        <v>0.61</v>
      </c>
      <c r="L100" s="10" t="s">
        <v>341</v>
      </c>
      <c r="M100" s="2"/>
    </row>
    <row r="101" customFormat="false" ht="15" hidden="false" customHeight="false" outlineLevel="0" collapsed="false">
      <c r="A101" s="2" t="s">
        <v>504</v>
      </c>
      <c r="B101" s="2" t="s">
        <v>44</v>
      </c>
      <c r="C101" s="2" t="s">
        <v>47</v>
      </c>
      <c r="D101" s="2" t="s">
        <v>505</v>
      </c>
      <c r="E101" s="2" t="s">
        <v>506</v>
      </c>
      <c r="F101" s="2" t="s">
        <v>340</v>
      </c>
      <c r="G101" s="2" t="s">
        <v>507</v>
      </c>
      <c r="H101" s="11" t="n">
        <v>54</v>
      </c>
      <c r="I101" s="11" t="n">
        <v>54</v>
      </c>
      <c r="J101" s="13" t="n">
        <v>0.1</v>
      </c>
      <c r="K101" s="11" t="n">
        <f aca="false">ROUND(I101*J101,2)</f>
        <v>5.4</v>
      </c>
      <c r="L101" s="10" t="s">
        <v>341</v>
      </c>
      <c r="M101" s="2"/>
    </row>
    <row r="102" customFormat="false" ht="15" hidden="false" customHeight="false" outlineLevel="0" collapsed="false">
      <c r="A102" s="2" t="s">
        <v>508</v>
      </c>
      <c r="B102" s="2" t="s">
        <v>44</v>
      </c>
      <c r="C102" s="2" t="s">
        <v>47</v>
      </c>
      <c r="D102" s="2" t="s">
        <v>509</v>
      </c>
      <c r="E102" s="2" t="s">
        <v>510</v>
      </c>
      <c r="F102" s="2" t="s">
        <v>340</v>
      </c>
      <c r="G102" s="2" t="s">
        <v>431</v>
      </c>
      <c r="H102" s="11" t="n">
        <v>359.39</v>
      </c>
      <c r="I102" s="11" t="n">
        <v>359.39</v>
      </c>
      <c r="J102" s="13" t="n">
        <v>0.12</v>
      </c>
      <c r="K102" s="11" t="n">
        <f aca="false">ROUND(I102*J102,2)</f>
        <v>43.13</v>
      </c>
      <c r="L102" s="10" t="s">
        <v>341</v>
      </c>
      <c r="M102" s="2"/>
    </row>
    <row r="103" customFormat="false" ht="15" hidden="false" customHeight="false" outlineLevel="0" collapsed="false">
      <c r="A103" s="2" t="s">
        <v>511</v>
      </c>
      <c r="B103" s="2" t="s">
        <v>44</v>
      </c>
      <c r="C103" s="2" t="s">
        <v>47</v>
      </c>
      <c r="D103" s="2" t="s">
        <v>512</v>
      </c>
      <c r="E103" s="2" t="s">
        <v>513</v>
      </c>
      <c r="F103" s="2" t="s">
        <v>340</v>
      </c>
      <c r="G103" s="2" t="s">
        <v>313</v>
      </c>
      <c r="H103" s="11" t="n">
        <v>155.94</v>
      </c>
      <c r="I103" s="11" t="n">
        <v>155.94</v>
      </c>
      <c r="J103" s="13" t="n">
        <v>0.12</v>
      </c>
      <c r="K103" s="11" t="n">
        <f aca="false">ROUND(I103*J103,2)</f>
        <v>18.71</v>
      </c>
      <c r="L103" s="10" t="s">
        <v>341</v>
      </c>
      <c r="M103" s="2"/>
    </row>
    <row r="104" customFormat="false" ht="15" hidden="false" customHeight="false" outlineLevel="0" collapsed="false">
      <c r="A104" s="2" t="s">
        <v>511</v>
      </c>
      <c r="B104" s="2" t="s">
        <v>44</v>
      </c>
      <c r="C104" s="2" t="s">
        <v>47</v>
      </c>
      <c r="D104" s="2" t="s">
        <v>512</v>
      </c>
      <c r="E104" s="2" t="s">
        <v>513</v>
      </c>
      <c r="F104" s="2" t="s">
        <v>340</v>
      </c>
      <c r="G104" s="2" t="s">
        <v>315</v>
      </c>
      <c r="H104" s="11" t="n">
        <v>141.19</v>
      </c>
      <c r="I104" s="11" t="n">
        <v>141.19</v>
      </c>
      <c r="J104" s="13" t="n">
        <v>0.12</v>
      </c>
      <c r="K104" s="11" t="n">
        <f aca="false">ROUND(I104*J104,2)</f>
        <v>16.94</v>
      </c>
      <c r="L104" s="10" t="s">
        <v>341</v>
      </c>
      <c r="M104" s="2"/>
    </row>
    <row r="105" customFormat="false" ht="15" hidden="false" customHeight="false" outlineLevel="0" collapsed="false">
      <c r="A105" s="2" t="s">
        <v>514</v>
      </c>
      <c r="B105" s="2" t="s">
        <v>44</v>
      </c>
      <c r="C105" s="2" t="s">
        <v>47</v>
      </c>
      <c r="D105" s="2" t="s">
        <v>515</v>
      </c>
      <c r="E105" s="2" t="s">
        <v>516</v>
      </c>
      <c r="F105" s="2" t="s">
        <v>340</v>
      </c>
      <c r="G105" s="2" t="s">
        <v>317</v>
      </c>
      <c r="H105" s="11" t="n">
        <v>42</v>
      </c>
      <c r="I105" s="11" t="n">
        <v>42</v>
      </c>
      <c r="J105" s="13" t="n">
        <v>0.14</v>
      </c>
      <c r="K105" s="11" t="n">
        <f aca="false">ROUND(I105*J105,2)</f>
        <v>5.88</v>
      </c>
      <c r="L105" s="10" t="s">
        <v>341</v>
      </c>
      <c r="M105" s="2"/>
    </row>
    <row r="106" customFormat="false" ht="15" hidden="false" customHeight="false" outlineLevel="0" collapsed="false">
      <c r="A106" s="2" t="s">
        <v>517</v>
      </c>
      <c r="B106" s="2" t="s">
        <v>44</v>
      </c>
      <c r="C106" s="2" t="s">
        <v>47</v>
      </c>
      <c r="D106" s="2" t="s">
        <v>518</v>
      </c>
      <c r="E106" s="2" t="s">
        <v>519</v>
      </c>
      <c r="F106" s="2" t="s">
        <v>340</v>
      </c>
      <c r="G106" s="2" t="s">
        <v>317</v>
      </c>
      <c r="H106" s="11" t="n">
        <v>85.33</v>
      </c>
      <c r="I106" s="11" t="n">
        <v>85.33</v>
      </c>
      <c r="J106" s="13" t="n">
        <v>0.1</v>
      </c>
      <c r="K106" s="11" t="n">
        <f aca="false">ROUND(I106*J106,2)</f>
        <v>8.53</v>
      </c>
      <c r="L106" s="10" t="s">
        <v>341</v>
      </c>
      <c r="M106" s="2"/>
    </row>
    <row r="107" customFormat="false" ht="15" hidden="false" customHeight="false" outlineLevel="0" collapsed="false">
      <c r="A107" s="2" t="s">
        <v>520</v>
      </c>
      <c r="B107" s="2" t="s">
        <v>44</v>
      </c>
      <c r="C107" s="2" t="s">
        <v>47</v>
      </c>
      <c r="D107" s="2" t="s">
        <v>521</v>
      </c>
      <c r="E107" s="2" t="s">
        <v>522</v>
      </c>
      <c r="F107" s="2" t="s">
        <v>340</v>
      </c>
      <c r="G107" s="2" t="s">
        <v>457</v>
      </c>
      <c r="H107" s="11" t="n">
        <v>41.54</v>
      </c>
      <c r="I107" s="11" t="n">
        <v>41.54</v>
      </c>
      <c r="J107" s="13" t="n">
        <v>0.1</v>
      </c>
      <c r="K107" s="11" t="n">
        <f aca="false">ROUND(I107*J107,2)</f>
        <v>4.15</v>
      </c>
      <c r="L107" s="10" t="s">
        <v>341</v>
      </c>
      <c r="M107" s="2"/>
    </row>
    <row r="108" customFormat="false" ht="15" hidden="false" customHeight="false" outlineLevel="0" collapsed="false">
      <c r="A108" s="2" t="s">
        <v>523</v>
      </c>
      <c r="B108" s="2" t="s">
        <v>44</v>
      </c>
      <c r="C108" s="2" t="s">
        <v>47</v>
      </c>
      <c r="D108" s="2" t="s">
        <v>524</v>
      </c>
      <c r="E108" s="2" t="s">
        <v>525</v>
      </c>
      <c r="F108" s="2" t="s">
        <v>379</v>
      </c>
      <c r="G108" s="2" t="s">
        <v>526</v>
      </c>
      <c r="H108" s="11" t="n">
        <v>-744.72</v>
      </c>
      <c r="I108" s="11" t="n">
        <v>-744.72</v>
      </c>
      <c r="J108" s="13" t="n">
        <v>0.1</v>
      </c>
      <c r="K108" s="11" t="n">
        <f aca="false">ROUND(I108*J108,2)</f>
        <v>-74.47</v>
      </c>
      <c r="L108" s="10" t="s">
        <v>341</v>
      </c>
      <c r="M108" s="2"/>
    </row>
    <row r="109" customFormat="false" ht="15" hidden="false" customHeight="false" outlineLevel="0" collapsed="false">
      <c r="A109" s="2" t="s">
        <v>527</v>
      </c>
      <c r="B109" s="2" t="s">
        <v>44</v>
      </c>
      <c r="C109" s="2" t="s">
        <v>47</v>
      </c>
      <c r="D109" s="2" t="s">
        <v>528</v>
      </c>
      <c r="E109" s="2" t="s">
        <v>529</v>
      </c>
      <c r="F109" s="2" t="s">
        <v>379</v>
      </c>
      <c r="G109" s="2" t="s">
        <v>530</v>
      </c>
      <c r="H109" s="11" t="n">
        <v>-532.55</v>
      </c>
      <c r="I109" s="11" t="n">
        <v>-532.55</v>
      </c>
      <c r="J109" s="13" t="n">
        <v>0.1</v>
      </c>
      <c r="K109" s="11" t="n">
        <f aca="false">ROUND(I109*J109,2)</f>
        <v>-53.26</v>
      </c>
      <c r="L109" s="10" t="s">
        <v>341</v>
      </c>
      <c r="M109" s="2"/>
    </row>
    <row r="110" customFormat="false" ht="15" hidden="false" customHeight="false" outlineLevel="0" collapsed="false">
      <c r="A110" s="2" t="s">
        <v>527</v>
      </c>
      <c r="B110" s="2" t="s">
        <v>44</v>
      </c>
      <c r="C110" s="2" t="s">
        <v>47</v>
      </c>
      <c r="D110" s="2" t="s">
        <v>528</v>
      </c>
      <c r="E110" s="2" t="s">
        <v>531</v>
      </c>
      <c r="F110" s="2" t="s">
        <v>290</v>
      </c>
      <c r="G110" s="2" t="s">
        <v>532</v>
      </c>
      <c r="H110" s="11" t="n">
        <v>-22</v>
      </c>
      <c r="I110" s="11" t="n">
        <v>-22</v>
      </c>
      <c r="J110" s="13" t="n">
        <v>0.1</v>
      </c>
      <c r="K110" s="11" t="n">
        <f aca="false">ROUND(I110*J110,2)</f>
        <v>-2.2</v>
      </c>
      <c r="L110" s="10" t="s">
        <v>341</v>
      </c>
      <c r="M110" s="2"/>
    </row>
    <row r="111" customFormat="false" ht="15" hidden="false" customHeight="false" outlineLevel="0" collapsed="false">
      <c r="A111" s="2" t="s">
        <v>527</v>
      </c>
      <c r="B111" s="2" t="s">
        <v>44</v>
      </c>
      <c r="C111" s="2" t="s">
        <v>47</v>
      </c>
      <c r="D111" s="2" t="s">
        <v>528</v>
      </c>
      <c r="E111" s="2" t="s">
        <v>531</v>
      </c>
      <c r="F111" s="2" t="s">
        <v>340</v>
      </c>
      <c r="G111" s="2" t="s">
        <v>313</v>
      </c>
      <c r="H111" s="11" t="n">
        <v>140</v>
      </c>
      <c r="I111" s="11" t="n">
        <v>140</v>
      </c>
      <c r="J111" s="13" t="n">
        <v>0.1</v>
      </c>
      <c r="K111" s="11" t="n">
        <f aca="false">ROUND(I111*J111,2)</f>
        <v>14</v>
      </c>
      <c r="L111" s="10" t="s">
        <v>341</v>
      </c>
      <c r="M111" s="2"/>
    </row>
    <row r="112" customFormat="false" ht="15" hidden="false" customHeight="false" outlineLevel="0" collapsed="false">
      <c r="A112" s="2" t="s">
        <v>527</v>
      </c>
      <c r="B112" s="2" t="s">
        <v>44</v>
      </c>
      <c r="C112" s="2" t="s">
        <v>47</v>
      </c>
      <c r="D112" s="2" t="s">
        <v>528</v>
      </c>
      <c r="E112" s="2" t="s">
        <v>531</v>
      </c>
      <c r="F112" s="2" t="s">
        <v>290</v>
      </c>
      <c r="G112" s="2" t="s">
        <v>309</v>
      </c>
      <c r="H112" s="11" t="n">
        <v>-5.47</v>
      </c>
      <c r="I112" s="11" t="n">
        <v>-5.47</v>
      </c>
      <c r="J112" s="13" t="n">
        <v>0.1</v>
      </c>
      <c r="K112" s="11" t="n">
        <f aca="false">ROUND(I112*J112,2)</f>
        <v>-0.55</v>
      </c>
      <c r="L112" s="10" t="s">
        <v>341</v>
      </c>
      <c r="M112" s="2"/>
    </row>
    <row r="113" customFormat="false" ht="15" hidden="false" customHeight="false" outlineLevel="0" collapsed="false">
      <c r="A113" s="2" t="s">
        <v>533</v>
      </c>
      <c r="B113" s="2" t="s">
        <v>44</v>
      </c>
      <c r="C113" s="2" t="s">
        <v>47</v>
      </c>
      <c r="D113" s="2" t="s">
        <v>534</v>
      </c>
      <c r="E113" s="2" t="s">
        <v>535</v>
      </c>
      <c r="F113" s="2" t="s">
        <v>340</v>
      </c>
      <c r="G113" s="2" t="s">
        <v>297</v>
      </c>
      <c r="H113" s="11" t="n">
        <v>24</v>
      </c>
      <c r="I113" s="11" t="n">
        <v>24</v>
      </c>
      <c r="J113" s="13" t="n">
        <v>0.1</v>
      </c>
      <c r="K113" s="11" t="n">
        <f aca="false">ROUND(I113*J113,2)</f>
        <v>2.4</v>
      </c>
      <c r="L113" s="10" t="s">
        <v>341</v>
      </c>
      <c r="M113" s="2"/>
    </row>
    <row r="114" customFormat="false" ht="15" hidden="false" customHeight="false" outlineLevel="0" collapsed="false">
      <c r="A114" s="2" t="s">
        <v>533</v>
      </c>
      <c r="B114" s="2" t="s">
        <v>44</v>
      </c>
      <c r="C114" s="2" t="s">
        <v>47</v>
      </c>
      <c r="D114" s="2" t="s">
        <v>534</v>
      </c>
      <c r="E114" s="2" t="s">
        <v>535</v>
      </c>
      <c r="F114" s="2" t="s">
        <v>25</v>
      </c>
      <c r="G114" s="2" t="s">
        <v>297</v>
      </c>
      <c r="H114" s="11" t="n">
        <v>1267</v>
      </c>
      <c r="I114" s="11" t="n">
        <v>1267</v>
      </c>
      <c r="J114" s="13" t="n">
        <v>0.1</v>
      </c>
      <c r="K114" s="11" t="n">
        <f aca="false">ROUND(I114*J114,2)</f>
        <v>126.7</v>
      </c>
      <c r="L114" s="10" t="s">
        <v>341</v>
      </c>
      <c r="M114" s="2"/>
    </row>
    <row r="115" customFormat="false" ht="15" hidden="false" customHeight="false" outlineLevel="0" collapsed="false">
      <c r="A115" s="2" t="s">
        <v>536</v>
      </c>
      <c r="B115" s="2" t="s">
        <v>44</v>
      </c>
      <c r="C115" s="2" t="s">
        <v>47</v>
      </c>
      <c r="D115" s="2" t="s">
        <v>537</v>
      </c>
      <c r="E115" s="2" t="s">
        <v>538</v>
      </c>
      <c r="F115" s="2" t="s">
        <v>25</v>
      </c>
      <c r="G115" s="2" t="s">
        <v>291</v>
      </c>
      <c r="H115" s="11" t="n">
        <v>958</v>
      </c>
      <c r="I115" s="11" t="n">
        <v>958</v>
      </c>
      <c r="J115" s="13" t="n">
        <v>0.12</v>
      </c>
      <c r="K115" s="11" t="n">
        <f aca="false">ROUND(I115*J115,2)</f>
        <v>114.96</v>
      </c>
      <c r="L115" s="10" t="s">
        <v>341</v>
      </c>
      <c r="M115" s="2"/>
    </row>
    <row r="116" customFormat="false" ht="15" hidden="false" customHeight="false" outlineLevel="0" collapsed="false">
      <c r="A116" s="2" t="s">
        <v>539</v>
      </c>
      <c r="B116" s="2" t="s">
        <v>44</v>
      </c>
      <c r="C116" s="2" t="s">
        <v>47</v>
      </c>
      <c r="D116" s="2" t="s">
        <v>540</v>
      </c>
      <c r="E116" s="2" t="s">
        <v>541</v>
      </c>
      <c r="F116" s="2" t="s">
        <v>25</v>
      </c>
      <c r="G116" s="2" t="s">
        <v>319</v>
      </c>
      <c r="H116" s="11" t="n">
        <v>1713</v>
      </c>
      <c r="I116" s="11" t="n">
        <v>1713</v>
      </c>
      <c r="J116" s="13" t="n">
        <v>0.12</v>
      </c>
      <c r="K116" s="11" t="n">
        <f aca="false">ROUND(I116*J116,2)</f>
        <v>205.56</v>
      </c>
      <c r="L116" s="10" t="s">
        <v>341</v>
      </c>
      <c r="M116" s="2"/>
    </row>
    <row r="117" customFormat="false" ht="15" hidden="false" customHeight="false" outlineLevel="0" collapsed="false">
      <c r="A117" s="2" t="s">
        <v>542</v>
      </c>
      <c r="B117" s="2" t="s">
        <v>44</v>
      </c>
      <c r="C117" s="2" t="s">
        <v>47</v>
      </c>
      <c r="D117" s="2" t="s">
        <v>543</v>
      </c>
      <c r="E117" s="2" t="s">
        <v>544</v>
      </c>
      <c r="F117" s="2" t="s">
        <v>25</v>
      </c>
      <c r="G117" s="2" t="s">
        <v>319</v>
      </c>
      <c r="H117" s="11" t="n">
        <v>2055</v>
      </c>
      <c r="I117" s="11" t="n">
        <v>2055</v>
      </c>
      <c r="J117" s="13" t="n">
        <v>0.1</v>
      </c>
      <c r="K117" s="11" t="n">
        <f aca="false">ROUND(I117*J117,2)</f>
        <v>205.5</v>
      </c>
      <c r="L117" s="10" t="s">
        <v>341</v>
      </c>
      <c r="M117" s="2"/>
    </row>
    <row r="118" customFormat="false" ht="15" hidden="false" customHeight="false" outlineLevel="0" collapsed="false">
      <c r="A118" s="2" t="s">
        <v>545</v>
      </c>
      <c r="B118" s="2" t="s">
        <v>44</v>
      </c>
      <c r="C118" s="2" t="s">
        <v>47</v>
      </c>
      <c r="D118" s="2" t="s">
        <v>546</v>
      </c>
      <c r="E118" s="2" t="s">
        <v>547</v>
      </c>
      <c r="F118" s="2" t="s">
        <v>290</v>
      </c>
      <c r="G118" s="2" t="s">
        <v>435</v>
      </c>
      <c r="H118" s="11" t="n">
        <v>-477.7</v>
      </c>
      <c r="I118" s="11" t="n">
        <v>-477.7</v>
      </c>
      <c r="J118" s="13" t="n">
        <v>0.14</v>
      </c>
      <c r="K118" s="11" t="n">
        <f aca="false">ROUND(I118*J118,2)</f>
        <v>-66.88</v>
      </c>
      <c r="L118" s="10" t="s">
        <v>341</v>
      </c>
      <c r="M118" s="2"/>
    </row>
    <row r="119" customFormat="false" ht="15" hidden="false" customHeight="false" outlineLevel="0" collapsed="false">
      <c r="A119" s="2" t="s">
        <v>545</v>
      </c>
      <c r="B119" s="2" t="s">
        <v>44</v>
      </c>
      <c r="C119" s="2" t="s">
        <v>47</v>
      </c>
      <c r="D119" s="2" t="s">
        <v>546</v>
      </c>
      <c r="E119" s="2" t="s">
        <v>547</v>
      </c>
      <c r="F119" s="2" t="s">
        <v>25</v>
      </c>
      <c r="G119" s="2" t="s">
        <v>309</v>
      </c>
      <c r="H119" s="11" t="n">
        <v>535</v>
      </c>
      <c r="I119" s="11" t="n">
        <v>535</v>
      </c>
      <c r="J119" s="13" t="n">
        <v>0.14</v>
      </c>
      <c r="K119" s="11" t="n">
        <f aca="false">ROUND(I119*J119,2)</f>
        <v>74.9</v>
      </c>
      <c r="L119" s="10" t="s">
        <v>341</v>
      </c>
      <c r="M119" s="2"/>
    </row>
    <row r="120" customFormat="false" ht="15" hidden="false" customHeight="false" outlineLevel="0" collapsed="false">
      <c r="A120" s="2" t="s">
        <v>545</v>
      </c>
      <c r="B120" s="2" t="s">
        <v>44</v>
      </c>
      <c r="C120" s="2" t="s">
        <v>47</v>
      </c>
      <c r="D120" s="2" t="s">
        <v>546</v>
      </c>
      <c r="E120" s="2" t="s">
        <v>547</v>
      </c>
      <c r="F120" s="2" t="s">
        <v>340</v>
      </c>
      <c r="G120" s="2" t="s">
        <v>317</v>
      </c>
      <c r="H120" s="11" t="n">
        <v>34.89</v>
      </c>
      <c r="I120" s="11" t="n">
        <v>34.89</v>
      </c>
      <c r="J120" s="13" t="n">
        <v>0.14</v>
      </c>
      <c r="K120" s="11" t="n">
        <f aca="false">ROUND(I120*J120,2)</f>
        <v>4.88</v>
      </c>
      <c r="L120" s="10" t="s">
        <v>341</v>
      </c>
      <c r="M120" s="2"/>
    </row>
    <row r="121" customFormat="false" ht="15" hidden="false" customHeight="false" outlineLevel="0" collapsed="false">
      <c r="A121" s="2" t="s">
        <v>545</v>
      </c>
      <c r="B121" s="2" t="s">
        <v>44</v>
      </c>
      <c r="C121" s="2" t="s">
        <v>47</v>
      </c>
      <c r="D121" s="2" t="s">
        <v>546</v>
      </c>
      <c r="E121" s="2" t="s">
        <v>547</v>
      </c>
      <c r="F121" s="2" t="s">
        <v>340</v>
      </c>
      <c r="G121" s="2" t="s">
        <v>435</v>
      </c>
      <c r="H121" s="11" t="n">
        <v>491.24</v>
      </c>
      <c r="I121" s="11" t="n">
        <v>491.24</v>
      </c>
      <c r="J121" s="13" t="n">
        <v>0.14</v>
      </c>
      <c r="K121" s="11" t="n">
        <f aca="false">ROUND(I121*J121,2)</f>
        <v>68.77</v>
      </c>
      <c r="L121" s="10" t="s">
        <v>341</v>
      </c>
      <c r="M121" s="2"/>
    </row>
    <row r="122" customFormat="false" ht="15" hidden="false" customHeight="false" outlineLevel="0" collapsed="false">
      <c r="A122" s="2" t="s">
        <v>548</v>
      </c>
      <c r="B122" s="2" t="s">
        <v>44</v>
      </c>
      <c r="C122" s="2" t="s">
        <v>47</v>
      </c>
      <c r="D122" s="2" t="s">
        <v>549</v>
      </c>
      <c r="E122" s="2" t="s">
        <v>550</v>
      </c>
      <c r="F122" s="2" t="s">
        <v>290</v>
      </c>
      <c r="G122" s="2" t="s">
        <v>324</v>
      </c>
      <c r="H122" s="11" t="n">
        <v>-134.96</v>
      </c>
      <c r="I122" s="11" t="n">
        <v>-134.96</v>
      </c>
      <c r="J122" s="13" t="n">
        <v>0.12</v>
      </c>
      <c r="K122" s="11" t="n">
        <f aca="false">ROUND(I122*J122,2)</f>
        <v>-16.2</v>
      </c>
      <c r="L122" s="10" t="s">
        <v>341</v>
      </c>
      <c r="M122" s="2"/>
    </row>
    <row r="123" customFormat="false" ht="15" hidden="false" customHeight="false" outlineLevel="0" collapsed="false">
      <c r="A123" s="2" t="s">
        <v>548</v>
      </c>
      <c r="B123" s="2" t="s">
        <v>44</v>
      </c>
      <c r="C123" s="2" t="s">
        <v>47</v>
      </c>
      <c r="D123" s="2" t="s">
        <v>549</v>
      </c>
      <c r="E123" s="2" t="s">
        <v>550</v>
      </c>
      <c r="F123" s="2" t="s">
        <v>25</v>
      </c>
      <c r="G123" s="2" t="s">
        <v>326</v>
      </c>
      <c r="H123" s="11" t="n">
        <v>1249</v>
      </c>
      <c r="I123" s="11" t="n">
        <v>1249</v>
      </c>
      <c r="J123" s="13" t="n">
        <v>0.12</v>
      </c>
      <c r="K123" s="11" t="n">
        <f aca="false">ROUND(I123*J123,2)</f>
        <v>149.88</v>
      </c>
      <c r="L123" s="10" t="s">
        <v>341</v>
      </c>
      <c r="M123" s="2"/>
    </row>
    <row r="124" customFormat="false" ht="15" hidden="false" customHeight="false" outlineLevel="0" collapsed="false">
      <c r="A124" s="2" t="s">
        <v>548</v>
      </c>
      <c r="B124" s="2" t="s">
        <v>44</v>
      </c>
      <c r="C124" s="2" t="s">
        <v>47</v>
      </c>
      <c r="D124" s="2" t="s">
        <v>549</v>
      </c>
      <c r="E124" s="2" t="s">
        <v>550</v>
      </c>
      <c r="F124" s="2" t="s">
        <v>340</v>
      </c>
      <c r="G124" s="2" t="s">
        <v>326</v>
      </c>
      <c r="H124" s="11" t="n">
        <v>470</v>
      </c>
      <c r="I124" s="11" t="n">
        <v>470</v>
      </c>
      <c r="J124" s="13" t="n">
        <v>0.12</v>
      </c>
      <c r="K124" s="11" t="n">
        <f aca="false">ROUND(I124*J124,2)</f>
        <v>56.4</v>
      </c>
      <c r="L124" s="10" t="s">
        <v>341</v>
      </c>
      <c r="M124" s="2"/>
    </row>
    <row r="125" customFormat="false" ht="15" hidden="false" customHeight="false" outlineLevel="0" collapsed="false">
      <c r="A125" s="2" t="s">
        <v>548</v>
      </c>
      <c r="B125" s="2" t="s">
        <v>44</v>
      </c>
      <c r="C125" s="2" t="s">
        <v>47</v>
      </c>
      <c r="D125" s="2" t="s">
        <v>549</v>
      </c>
      <c r="E125" s="2" t="s">
        <v>551</v>
      </c>
      <c r="F125" s="2" t="s">
        <v>379</v>
      </c>
      <c r="G125" s="2" t="s">
        <v>313</v>
      </c>
      <c r="H125" s="11" t="n">
        <v>-1503.54</v>
      </c>
      <c r="I125" s="11" t="n">
        <v>-1503.54</v>
      </c>
      <c r="J125" s="13" t="n">
        <v>0.12</v>
      </c>
      <c r="K125" s="11" t="n">
        <f aca="false">ROUND(I125*J125,2)</f>
        <v>-180.42</v>
      </c>
      <c r="L125" s="10" t="s">
        <v>341</v>
      </c>
      <c r="M125" s="2"/>
    </row>
    <row r="126" customFormat="false" ht="15" hidden="false" customHeight="false" outlineLevel="0" collapsed="false">
      <c r="A126" s="2" t="s">
        <v>552</v>
      </c>
      <c r="B126" s="2" t="s">
        <v>44</v>
      </c>
      <c r="C126" s="2" t="s">
        <v>47</v>
      </c>
      <c r="D126" s="2" t="s">
        <v>553</v>
      </c>
      <c r="E126" s="2" t="s">
        <v>368</v>
      </c>
      <c r="F126" s="2" t="s">
        <v>25</v>
      </c>
      <c r="G126" s="2" t="s">
        <v>554</v>
      </c>
      <c r="H126" s="11" t="n">
        <v>898</v>
      </c>
      <c r="I126" s="11" t="n">
        <v>898</v>
      </c>
      <c r="J126" s="13" t="n">
        <v>0.14</v>
      </c>
      <c r="K126" s="11" t="n">
        <f aca="false">ROUND(I126*J126,2)</f>
        <v>125.72</v>
      </c>
      <c r="L126" s="10" t="s">
        <v>341</v>
      </c>
      <c r="M126" s="2"/>
    </row>
    <row r="127" customFormat="false" ht="15" hidden="false" customHeight="false" outlineLevel="0" collapsed="false">
      <c r="A127" s="2" t="s">
        <v>555</v>
      </c>
      <c r="B127" s="2" t="s">
        <v>44</v>
      </c>
      <c r="C127" s="2" t="s">
        <v>47</v>
      </c>
      <c r="D127" s="2" t="s">
        <v>556</v>
      </c>
      <c r="E127" s="2" t="s">
        <v>557</v>
      </c>
      <c r="F127" s="2" t="s">
        <v>340</v>
      </c>
      <c r="G127" s="2" t="s">
        <v>303</v>
      </c>
      <c r="H127" s="11" t="n">
        <v>113</v>
      </c>
      <c r="I127" s="11" t="n">
        <v>113</v>
      </c>
      <c r="J127" s="13" t="n">
        <v>0.12</v>
      </c>
      <c r="K127" s="11" t="n">
        <f aca="false">ROUND(I127*J127,2)</f>
        <v>13.56</v>
      </c>
      <c r="L127" s="10" t="s">
        <v>341</v>
      </c>
      <c r="M127" s="2"/>
    </row>
    <row r="128" customFormat="false" ht="15" hidden="false" customHeight="false" outlineLevel="0" collapsed="false">
      <c r="A128" s="2" t="s">
        <v>555</v>
      </c>
      <c r="B128" s="2" t="s">
        <v>44</v>
      </c>
      <c r="C128" s="2" t="s">
        <v>47</v>
      </c>
      <c r="D128" s="2" t="s">
        <v>556</v>
      </c>
      <c r="E128" s="2" t="s">
        <v>557</v>
      </c>
      <c r="F128" s="2" t="s">
        <v>25</v>
      </c>
      <c r="G128" s="2" t="s">
        <v>303</v>
      </c>
      <c r="H128" s="11" t="n">
        <v>544</v>
      </c>
      <c r="I128" s="11" t="n">
        <v>544</v>
      </c>
      <c r="J128" s="13" t="n">
        <v>0.12</v>
      </c>
      <c r="K128" s="11" t="n">
        <f aca="false">ROUND(I128*J128,2)</f>
        <v>65.28</v>
      </c>
      <c r="L128" s="10" t="s">
        <v>341</v>
      </c>
      <c r="M128" s="2"/>
    </row>
    <row r="129" customFormat="false" ht="15" hidden="false" customHeight="false" outlineLevel="0" collapsed="false">
      <c r="A129" s="2" t="s">
        <v>558</v>
      </c>
      <c r="B129" s="2" t="s">
        <v>44</v>
      </c>
      <c r="C129" s="2" t="s">
        <v>47</v>
      </c>
      <c r="D129" s="2" t="s">
        <v>559</v>
      </c>
      <c r="E129" s="2" t="s">
        <v>560</v>
      </c>
      <c r="F129" s="2" t="s">
        <v>25</v>
      </c>
      <c r="G129" s="2" t="s">
        <v>303</v>
      </c>
      <c r="H129" s="11" t="n">
        <v>425</v>
      </c>
      <c r="I129" s="11" t="n">
        <v>425</v>
      </c>
      <c r="J129" s="13" t="n">
        <v>0.12</v>
      </c>
      <c r="K129" s="11" t="n">
        <f aca="false">ROUND(I129*J129,2)</f>
        <v>51</v>
      </c>
      <c r="L129" s="10" t="s">
        <v>341</v>
      </c>
      <c r="M129" s="2"/>
    </row>
    <row r="130" customFormat="false" ht="15" hidden="false" customHeight="false" outlineLevel="0" collapsed="false">
      <c r="A130" s="2" t="s">
        <v>558</v>
      </c>
      <c r="B130" s="2" t="s">
        <v>44</v>
      </c>
      <c r="C130" s="2" t="s">
        <v>47</v>
      </c>
      <c r="D130" s="2" t="s">
        <v>559</v>
      </c>
      <c r="E130" s="2" t="s">
        <v>560</v>
      </c>
      <c r="F130" s="2" t="s">
        <v>25</v>
      </c>
      <c r="G130" s="2" t="s">
        <v>313</v>
      </c>
      <c r="H130" s="11" t="n">
        <v>395</v>
      </c>
      <c r="I130" s="11" t="n">
        <v>395</v>
      </c>
      <c r="J130" s="13" t="n">
        <v>0.12</v>
      </c>
      <c r="K130" s="11" t="n">
        <f aca="false">ROUND(I130*J130,2)</f>
        <v>47.4</v>
      </c>
      <c r="L130" s="10" t="s">
        <v>341</v>
      </c>
      <c r="M130" s="2"/>
    </row>
    <row r="131" customFormat="false" ht="15" hidden="false" customHeight="false" outlineLevel="0" collapsed="false">
      <c r="A131" s="2" t="s">
        <v>558</v>
      </c>
      <c r="B131" s="2" t="s">
        <v>44</v>
      </c>
      <c r="C131" s="2" t="s">
        <v>47</v>
      </c>
      <c r="D131" s="2" t="s">
        <v>559</v>
      </c>
      <c r="E131" s="2" t="s">
        <v>561</v>
      </c>
      <c r="F131" s="2" t="s">
        <v>379</v>
      </c>
      <c r="G131" s="2" t="s">
        <v>313</v>
      </c>
      <c r="H131" s="11" t="n">
        <v>-395</v>
      </c>
      <c r="I131" s="11" t="n">
        <v>-395</v>
      </c>
      <c r="J131" s="13" t="n">
        <v>0.12</v>
      </c>
      <c r="K131" s="11" t="n">
        <f aca="false">ROUND(I131*J131,2)</f>
        <v>-47.4</v>
      </c>
      <c r="L131" s="10" t="s">
        <v>341</v>
      </c>
      <c r="M131" s="2"/>
    </row>
    <row r="132" customFormat="false" ht="15" hidden="false" customHeight="false" outlineLevel="0" collapsed="false">
      <c r="A132" s="2" t="s">
        <v>562</v>
      </c>
      <c r="B132" s="2" t="s">
        <v>44</v>
      </c>
      <c r="C132" s="2" t="s">
        <v>47</v>
      </c>
      <c r="D132" s="2" t="s">
        <v>563</v>
      </c>
      <c r="E132" s="2" t="s">
        <v>564</v>
      </c>
      <c r="F132" s="2" t="s">
        <v>25</v>
      </c>
      <c r="G132" s="2" t="s">
        <v>303</v>
      </c>
      <c r="H132" s="11" t="n">
        <v>462</v>
      </c>
      <c r="I132" s="11" t="n">
        <v>462</v>
      </c>
      <c r="J132" s="13" t="n">
        <v>0.14</v>
      </c>
      <c r="K132" s="11" t="n">
        <f aca="false">ROUND(I132*J132,2)</f>
        <v>64.68</v>
      </c>
      <c r="L132" s="10" t="s">
        <v>341</v>
      </c>
      <c r="M132" s="2"/>
    </row>
    <row r="133" customFormat="false" ht="15" hidden="false" customHeight="false" outlineLevel="0" collapsed="false">
      <c r="A133" s="2" t="s">
        <v>565</v>
      </c>
      <c r="B133" s="2" t="s">
        <v>44</v>
      </c>
      <c r="C133" s="2" t="s">
        <v>47</v>
      </c>
      <c r="D133" s="2" t="s">
        <v>566</v>
      </c>
      <c r="E133" s="2" t="s">
        <v>567</v>
      </c>
      <c r="F133" s="2" t="s">
        <v>340</v>
      </c>
      <c r="G133" s="2" t="s">
        <v>313</v>
      </c>
      <c r="H133" s="11" t="n">
        <v>159.4</v>
      </c>
      <c r="I133" s="11" t="n">
        <v>159.4</v>
      </c>
      <c r="J133" s="13" t="n">
        <v>0.14</v>
      </c>
      <c r="K133" s="11" t="n">
        <f aca="false">ROUND(I133*J133,2)</f>
        <v>22.32</v>
      </c>
      <c r="L133" s="10" t="s">
        <v>341</v>
      </c>
      <c r="M133" s="2"/>
    </row>
    <row r="134" customFormat="false" ht="15" hidden="false" customHeight="false" outlineLevel="0" collapsed="false">
      <c r="A134" s="2" t="s">
        <v>565</v>
      </c>
      <c r="B134" s="2" t="s">
        <v>44</v>
      </c>
      <c r="C134" s="2" t="s">
        <v>47</v>
      </c>
      <c r="D134" s="2" t="s">
        <v>566</v>
      </c>
      <c r="E134" s="2" t="s">
        <v>567</v>
      </c>
      <c r="F134" s="2" t="s">
        <v>25</v>
      </c>
      <c r="G134" s="2" t="s">
        <v>303</v>
      </c>
      <c r="H134" s="11" t="n">
        <v>644</v>
      </c>
      <c r="I134" s="11" t="n">
        <v>644</v>
      </c>
      <c r="J134" s="13" t="n">
        <v>0.14</v>
      </c>
      <c r="K134" s="11" t="n">
        <f aca="false">ROUND(I134*J134,2)</f>
        <v>90.16</v>
      </c>
      <c r="L134" s="10" t="s">
        <v>341</v>
      </c>
      <c r="M134" s="2"/>
    </row>
    <row r="135" customFormat="false" ht="15" hidden="false" customHeight="false" outlineLevel="0" collapsed="false">
      <c r="A135" s="2" t="s">
        <v>568</v>
      </c>
      <c r="B135" s="2" t="s">
        <v>44</v>
      </c>
      <c r="C135" s="2" t="s">
        <v>47</v>
      </c>
      <c r="D135" s="2" t="s">
        <v>569</v>
      </c>
      <c r="E135" s="2" t="s">
        <v>570</v>
      </c>
      <c r="F135" s="2" t="s">
        <v>25</v>
      </c>
      <c r="G135" s="2" t="s">
        <v>530</v>
      </c>
      <c r="H135" s="11" t="n">
        <v>1337</v>
      </c>
      <c r="I135" s="11" t="n">
        <v>1337</v>
      </c>
      <c r="J135" s="13" t="n">
        <v>0.12</v>
      </c>
      <c r="K135" s="11" t="n">
        <f aca="false">ROUND(I135*J135,2)</f>
        <v>160.44</v>
      </c>
      <c r="L135" s="10" t="s">
        <v>341</v>
      </c>
      <c r="M135" s="2"/>
    </row>
    <row r="136" customFormat="false" ht="15" hidden="false" customHeight="false" outlineLevel="0" collapsed="false">
      <c r="A136" s="2" t="s">
        <v>571</v>
      </c>
      <c r="B136" s="2" t="s">
        <v>44</v>
      </c>
      <c r="C136" s="2" t="s">
        <v>47</v>
      </c>
      <c r="D136" s="2" t="s">
        <v>572</v>
      </c>
      <c r="E136" s="2" t="s">
        <v>573</v>
      </c>
      <c r="F136" s="2" t="s">
        <v>25</v>
      </c>
      <c r="G136" s="2" t="s">
        <v>530</v>
      </c>
      <c r="H136" s="11" t="n">
        <v>1726</v>
      </c>
      <c r="I136" s="11" t="n">
        <v>1726</v>
      </c>
      <c r="J136" s="13" t="n">
        <v>0.12</v>
      </c>
      <c r="K136" s="11" t="n">
        <f aca="false">ROUND(I136*J136,2)</f>
        <v>207.12</v>
      </c>
      <c r="L136" s="10" t="s">
        <v>341</v>
      </c>
      <c r="M136" s="2"/>
    </row>
    <row r="137" customFormat="false" ht="15" hidden="false" customHeight="false" outlineLevel="0" collapsed="false">
      <c r="A137" s="2" t="s">
        <v>574</v>
      </c>
      <c r="B137" s="2" t="s">
        <v>44</v>
      </c>
      <c r="C137" s="2" t="s">
        <v>47</v>
      </c>
      <c r="D137" s="2" t="s">
        <v>575</v>
      </c>
      <c r="E137" s="2" t="s">
        <v>576</v>
      </c>
      <c r="F137" s="2" t="s">
        <v>25</v>
      </c>
      <c r="G137" s="2" t="s">
        <v>313</v>
      </c>
      <c r="H137" s="11" t="n">
        <v>629</v>
      </c>
      <c r="I137" s="11" t="n">
        <v>629</v>
      </c>
      <c r="J137" s="13" t="n">
        <v>0.1</v>
      </c>
      <c r="K137" s="11" t="n">
        <f aca="false">ROUND(I137*J137,2)</f>
        <v>62.9</v>
      </c>
      <c r="L137" s="10" t="s">
        <v>341</v>
      </c>
      <c r="M137" s="2"/>
    </row>
    <row r="138" customFormat="false" ht="15" hidden="false" customHeight="false" outlineLevel="0" collapsed="false">
      <c r="A138" s="2" t="s">
        <v>574</v>
      </c>
      <c r="B138" s="2" t="s">
        <v>44</v>
      </c>
      <c r="C138" s="2" t="s">
        <v>47</v>
      </c>
      <c r="D138" s="2" t="s">
        <v>575</v>
      </c>
      <c r="E138" s="2" t="s">
        <v>576</v>
      </c>
      <c r="F138" s="2" t="s">
        <v>290</v>
      </c>
      <c r="G138" s="2" t="s">
        <v>313</v>
      </c>
      <c r="H138" s="11" t="n">
        <v>-65</v>
      </c>
      <c r="I138" s="11" t="n">
        <v>-65</v>
      </c>
      <c r="J138" s="13" t="n">
        <v>0.1</v>
      </c>
      <c r="K138" s="11" t="n">
        <f aca="false">ROUND(I138*J138,2)</f>
        <v>-6.5</v>
      </c>
      <c r="L138" s="10" t="s">
        <v>341</v>
      </c>
      <c r="M138" s="2"/>
    </row>
    <row r="139" customFormat="false" ht="15" hidden="false" customHeight="false" outlineLevel="0" collapsed="false">
      <c r="A139" s="2" t="s">
        <v>574</v>
      </c>
      <c r="B139" s="2" t="s">
        <v>44</v>
      </c>
      <c r="C139" s="2" t="s">
        <v>47</v>
      </c>
      <c r="D139" s="2" t="s">
        <v>575</v>
      </c>
      <c r="E139" s="2" t="s">
        <v>576</v>
      </c>
      <c r="F139" s="2" t="s">
        <v>340</v>
      </c>
      <c r="G139" s="2" t="s">
        <v>321</v>
      </c>
      <c r="H139" s="11" t="n">
        <v>1276.57</v>
      </c>
      <c r="I139" s="11" t="n">
        <v>1276.57</v>
      </c>
      <c r="J139" s="13" t="n">
        <v>0.1</v>
      </c>
      <c r="K139" s="11" t="n">
        <f aca="false">ROUND(I139*J139,2)</f>
        <v>127.66</v>
      </c>
      <c r="L139" s="10" t="s">
        <v>341</v>
      </c>
      <c r="M139" s="2"/>
    </row>
    <row r="140" customFormat="false" ht="15" hidden="false" customHeight="false" outlineLevel="0" collapsed="false">
      <c r="A140" s="2" t="s">
        <v>577</v>
      </c>
      <c r="B140" s="2" t="s">
        <v>44</v>
      </c>
      <c r="C140" s="2" t="s">
        <v>47</v>
      </c>
      <c r="D140" s="2" t="s">
        <v>578</v>
      </c>
      <c r="E140" s="2" t="s">
        <v>579</v>
      </c>
      <c r="F140" s="2" t="s">
        <v>340</v>
      </c>
      <c r="G140" s="2" t="s">
        <v>315</v>
      </c>
      <c r="H140" s="11" t="n">
        <v>221</v>
      </c>
      <c r="I140" s="11" t="n">
        <v>221</v>
      </c>
      <c r="J140" s="13" t="n">
        <v>0.12</v>
      </c>
      <c r="K140" s="11" t="n">
        <f aca="false">ROUND(I140*J140,2)</f>
        <v>26.52</v>
      </c>
      <c r="L140" s="10" t="s">
        <v>341</v>
      </c>
      <c r="M140" s="2"/>
    </row>
    <row r="141" customFormat="false" ht="15" hidden="false" customHeight="false" outlineLevel="0" collapsed="false">
      <c r="A141" s="2" t="s">
        <v>577</v>
      </c>
      <c r="B141" s="2" t="s">
        <v>44</v>
      </c>
      <c r="C141" s="2" t="s">
        <v>47</v>
      </c>
      <c r="D141" s="2" t="s">
        <v>578</v>
      </c>
      <c r="E141" s="2" t="s">
        <v>579</v>
      </c>
      <c r="F141" s="2" t="s">
        <v>25</v>
      </c>
      <c r="G141" s="2" t="s">
        <v>315</v>
      </c>
      <c r="H141" s="11" t="n">
        <v>1093</v>
      </c>
      <c r="I141" s="11" t="n">
        <v>1093</v>
      </c>
      <c r="J141" s="13" t="n">
        <v>0.12</v>
      </c>
      <c r="K141" s="11" t="n">
        <f aca="false">ROUND(I141*J141,2)</f>
        <v>131.16</v>
      </c>
      <c r="L141" s="10" t="s">
        <v>341</v>
      </c>
      <c r="M141" s="2"/>
    </row>
    <row r="142" customFormat="false" ht="15" hidden="false" customHeight="false" outlineLevel="0" collapsed="false">
      <c r="A142" s="2" t="s">
        <v>580</v>
      </c>
      <c r="B142" s="2" t="s">
        <v>44</v>
      </c>
      <c r="C142" s="2" t="s">
        <v>47</v>
      </c>
      <c r="D142" s="2" t="s">
        <v>581</v>
      </c>
      <c r="E142" s="2" t="s">
        <v>582</v>
      </c>
      <c r="F142" s="2" t="s">
        <v>25</v>
      </c>
      <c r="G142" s="2" t="s">
        <v>583</v>
      </c>
      <c r="H142" s="11" t="n">
        <v>693</v>
      </c>
      <c r="I142" s="11" t="n">
        <v>693</v>
      </c>
      <c r="J142" s="13" t="n">
        <v>0.12</v>
      </c>
      <c r="K142" s="11" t="n">
        <f aca="false">ROUND(I142*J142,2)</f>
        <v>83.16</v>
      </c>
      <c r="L142" s="10" t="s">
        <v>341</v>
      </c>
      <c r="M142" s="2"/>
    </row>
    <row r="143" customFormat="false" ht="15" hidden="false" customHeight="false" outlineLevel="0" collapsed="false">
      <c r="A143" s="2" t="s">
        <v>580</v>
      </c>
      <c r="B143" s="2" t="s">
        <v>44</v>
      </c>
      <c r="C143" s="2" t="s">
        <v>47</v>
      </c>
      <c r="D143" s="2" t="s">
        <v>581</v>
      </c>
      <c r="E143" s="2" t="s">
        <v>582</v>
      </c>
      <c r="F143" s="2" t="s">
        <v>290</v>
      </c>
      <c r="G143" s="2" t="s">
        <v>583</v>
      </c>
      <c r="H143" s="11" t="n">
        <v>-39</v>
      </c>
      <c r="I143" s="11" t="n">
        <v>-39</v>
      </c>
      <c r="J143" s="13" t="n">
        <v>0.12</v>
      </c>
      <c r="K143" s="11" t="n">
        <f aca="false">ROUND(I143*J143,2)</f>
        <v>-4.68</v>
      </c>
      <c r="L143" s="10" t="s">
        <v>341</v>
      </c>
      <c r="M143" s="2"/>
    </row>
    <row r="144" customFormat="false" ht="15" hidden="false" customHeight="false" outlineLevel="0" collapsed="false">
      <c r="A144" s="2" t="s">
        <v>584</v>
      </c>
      <c r="B144" s="2" t="s">
        <v>44</v>
      </c>
      <c r="C144" s="2" t="s">
        <v>47</v>
      </c>
      <c r="D144" s="2" t="s">
        <v>585</v>
      </c>
      <c r="E144" s="2" t="s">
        <v>586</v>
      </c>
      <c r="F144" s="2" t="s">
        <v>340</v>
      </c>
      <c r="G144" s="2" t="s">
        <v>583</v>
      </c>
      <c r="H144" s="11" t="n">
        <v>67</v>
      </c>
      <c r="I144" s="11" t="n">
        <v>67</v>
      </c>
      <c r="J144" s="13" t="n">
        <v>0.12</v>
      </c>
      <c r="K144" s="11" t="n">
        <f aca="false">ROUND(I144*J144,2)</f>
        <v>8.04</v>
      </c>
      <c r="L144" s="10" t="s">
        <v>341</v>
      </c>
      <c r="M144" s="2"/>
    </row>
    <row r="145" customFormat="false" ht="15" hidden="false" customHeight="false" outlineLevel="0" collapsed="false">
      <c r="A145" s="2" t="s">
        <v>584</v>
      </c>
      <c r="B145" s="2" t="s">
        <v>44</v>
      </c>
      <c r="C145" s="2" t="s">
        <v>47</v>
      </c>
      <c r="D145" s="2" t="s">
        <v>585</v>
      </c>
      <c r="E145" s="2" t="s">
        <v>586</v>
      </c>
      <c r="F145" s="2" t="s">
        <v>25</v>
      </c>
      <c r="G145" s="2" t="s">
        <v>583</v>
      </c>
      <c r="H145" s="11" t="n">
        <v>663</v>
      </c>
      <c r="I145" s="11" t="n">
        <v>663</v>
      </c>
      <c r="J145" s="13" t="n">
        <v>0.12</v>
      </c>
      <c r="K145" s="11" t="n">
        <f aca="false">ROUND(I145*J145,2)</f>
        <v>79.56</v>
      </c>
      <c r="L145" s="10" t="s">
        <v>341</v>
      </c>
      <c r="M145" s="2"/>
    </row>
    <row r="146" customFormat="false" ht="15" hidden="false" customHeight="false" outlineLevel="0" collapsed="false">
      <c r="A146" s="2" t="s">
        <v>587</v>
      </c>
      <c r="B146" s="2" t="s">
        <v>44</v>
      </c>
      <c r="C146" s="2" t="s">
        <v>47</v>
      </c>
      <c r="D146" s="2" t="s">
        <v>588</v>
      </c>
      <c r="E146" s="2" t="s">
        <v>589</v>
      </c>
      <c r="F146" s="2" t="s">
        <v>25</v>
      </c>
      <c r="G146" s="2" t="s">
        <v>457</v>
      </c>
      <c r="H146" s="11" t="n">
        <v>1024</v>
      </c>
      <c r="I146" s="11" t="n">
        <v>1024</v>
      </c>
      <c r="J146" s="13" t="n">
        <v>0.12</v>
      </c>
      <c r="K146" s="11" t="n">
        <f aca="false">ROUND(I146*J146,2)</f>
        <v>122.88</v>
      </c>
      <c r="L146" s="10" t="s">
        <v>341</v>
      </c>
      <c r="M146" s="2"/>
    </row>
    <row r="147" customFormat="false" ht="15" hidden="false" customHeight="false" outlineLevel="0" collapsed="false">
      <c r="A147" s="2" t="s">
        <v>590</v>
      </c>
      <c r="B147" s="2" t="s">
        <v>44</v>
      </c>
      <c r="C147" s="2" t="s">
        <v>47</v>
      </c>
      <c r="D147" s="2" t="s">
        <v>591</v>
      </c>
      <c r="E147" s="2" t="s">
        <v>592</v>
      </c>
      <c r="F147" s="2" t="s">
        <v>25</v>
      </c>
      <c r="G147" s="2" t="s">
        <v>453</v>
      </c>
      <c r="H147" s="11" t="n">
        <v>542</v>
      </c>
      <c r="I147" s="11" t="n">
        <v>542</v>
      </c>
      <c r="J147" s="13" t="n">
        <v>0.12</v>
      </c>
      <c r="K147" s="11" t="n">
        <f aca="false">ROUND(I147*J147,2)</f>
        <v>65.04</v>
      </c>
      <c r="L147" s="10" t="s">
        <v>341</v>
      </c>
      <c r="M147" s="2"/>
    </row>
    <row r="148" customFormat="false" ht="15" hidden="false" customHeight="false" outlineLevel="0" collapsed="false">
      <c r="A148" s="2" t="s">
        <v>593</v>
      </c>
      <c r="B148" s="2" t="s">
        <v>44</v>
      </c>
      <c r="C148" s="2" t="s">
        <v>47</v>
      </c>
      <c r="D148" s="2" t="s">
        <v>594</v>
      </c>
      <c r="E148" s="2" t="s">
        <v>595</v>
      </c>
      <c r="F148" s="2" t="s">
        <v>290</v>
      </c>
      <c r="G148" s="2" t="s">
        <v>457</v>
      </c>
      <c r="H148" s="11" t="n">
        <v>-177</v>
      </c>
      <c r="I148" s="11" t="n">
        <v>-177</v>
      </c>
      <c r="J148" s="13" t="n">
        <v>0.12</v>
      </c>
      <c r="K148" s="11" t="n">
        <f aca="false">ROUND(I148*J148,2)</f>
        <v>-21.24</v>
      </c>
      <c r="L148" s="10" t="s">
        <v>341</v>
      </c>
      <c r="M148" s="2"/>
    </row>
    <row r="149" customFormat="false" ht="15" hidden="false" customHeight="false" outlineLevel="0" collapsed="false">
      <c r="A149" s="2" t="s">
        <v>593</v>
      </c>
      <c r="B149" s="2" t="s">
        <v>44</v>
      </c>
      <c r="C149" s="2" t="s">
        <v>47</v>
      </c>
      <c r="D149" s="2" t="s">
        <v>594</v>
      </c>
      <c r="E149" s="2" t="s">
        <v>595</v>
      </c>
      <c r="F149" s="2" t="s">
        <v>25</v>
      </c>
      <c r="G149" s="2" t="s">
        <v>457</v>
      </c>
      <c r="H149" s="11" t="n">
        <v>1404</v>
      </c>
      <c r="I149" s="11" t="n">
        <v>1404</v>
      </c>
      <c r="J149" s="13" t="n">
        <v>0.12</v>
      </c>
      <c r="K149" s="11" t="n">
        <f aca="false">ROUND(I149*J149,2)</f>
        <v>168.48</v>
      </c>
      <c r="L149" s="10" t="s">
        <v>341</v>
      </c>
      <c r="M149" s="2"/>
    </row>
    <row r="150" customFormat="false" ht="15" hidden="false" customHeight="false" outlineLevel="0" collapsed="false">
      <c r="A150" s="2" t="s">
        <v>596</v>
      </c>
      <c r="B150" s="2" t="s">
        <v>44</v>
      </c>
      <c r="C150" s="2" t="s">
        <v>47</v>
      </c>
      <c r="D150" s="2" t="s">
        <v>597</v>
      </c>
      <c r="E150" s="2" t="s">
        <v>598</v>
      </c>
      <c r="F150" s="2" t="s">
        <v>106</v>
      </c>
      <c r="G150" s="2" t="s">
        <v>467</v>
      </c>
      <c r="H150" s="11" t="n">
        <v>5117</v>
      </c>
      <c r="I150" s="11" t="n">
        <v>5117</v>
      </c>
      <c r="J150" s="13" t="n">
        <v>0.08</v>
      </c>
      <c r="K150" s="11" t="n">
        <f aca="false">ROUND(I150*J150,2)</f>
        <v>409.36</v>
      </c>
      <c r="L150" s="10" t="s">
        <v>341</v>
      </c>
      <c r="M150" s="2"/>
    </row>
    <row r="151" customFormat="false" ht="15" hidden="false" customHeight="false" outlineLevel="0" collapsed="false">
      <c r="A151" s="2" t="s">
        <v>596</v>
      </c>
      <c r="B151" s="2" t="s">
        <v>44</v>
      </c>
      <c r="C151" s="2" t="s">
        <v>47</v>
      </c>
      <c r="D151" s="2" t="s">
        <v>597</v>
      </c>
      <c r="E151" s="2" t="s">
        <v>598</v>
      </c>
      <c r="F151" s="2" t="s">
        <v>290</v>
      </c>
      <c r="G151" s="2" t="s">
        <v>315</v>
      </c>
      <c r="H151" s="11" t="n">
        <v>-119.67</v>
      </c>
      <c r="I151" s="11" t="n">
        <v>-119.67</v>
      </c>
      <c r="J151" s="13" t="n">
        <v>0.08</v>
      </c>
      <c r="K151" s="11" t="n">
        <f aca="false">ROUND(I151*J151,2)</f>
        <v>-9.57</v>
      </c>
      <c r="L151" s="10" t="s">
        <v>341</v>
      </c>
      <c r="M151" s="2"/>
    </row>
    <row r="152" customFormat="false" ht="15" hidden="false" customHeight="false" outlineLevel="0" collapsed="false">
      <c r="A152" s="2" t="s">
        <v>599</v>
      </c>
      <c r="B152" s="2" t="s">
        <v>44</v>
      </c>
      <c r="C152" s="2" t="s">
        <v>47</v>
      </c>
      <c r="D152" s="2" t="s">
        <v>600</v>
      </c>
      <c r="E152" s="2" t="s">
        <v>598</v>
      </c>
      <c r="F152" s="2" t="s">
        <v>106</v>
      </c>
      <c r="G152" s="2" t="s">
        <v>467</v>
      </c>
      <c r="H152" s="11" t="n">
        <v>1071</v>
      </c>
      <c r="I152" s="11" t="n">
        <v>1071</v>
      </c>
      <c r="J152" s="13" t="n">
        <v>0.1</v>
      </c>
      <c r="K152" s="11" t="n">
        <f aca="false">ROUND(I152*J152,2)</f>
        <v>107.1</v>
      </c>
      <c r="L152" s="10" t="s">
        <v>341</v>
      </c>
      <c r="M152" s="2"/>
    </row>
    <row r="153" customFormat="false" ht="15" hidden="false" customHeight="false" outlineLevel="0" collapsed="false">
      <c r="A153" s="2" t="s">
        <v>599</v>
      </c>
      <c r="B153" s="2" t="s">
        <v>44</v>
      </c>
      <c r="C153" s="2" t="s">
        <v>47</v>
      </c>
      <c r="D153" s="2" t="s">
        <v>600</v>
      </c>
      <c r="E153" s="2" t="s">
        <v>598</v>
      </c>
      <c r="F153" s="2" t="s">
        <v>290</v>
      </c>
      <c r="G153" s="2" t="s">
        <v>315</v>
      </c>
      <c r="H153" s="11" t="n">
        <v>-337.32</v>
      </c>
      <c r="I153" s="11" t="n">
        <v>-337.32</v>
      </c>
      <c r="J153" s="13" t="n">
        <v>0.1</v>
      </c>
      <c r="K153" s="11" t="n">
        <f aca="false">ROUND(I153*J153,2)</f>
        <v>-33.73</v>
      </c>
      <c r="L153" s="10" t="s">
        <v>341</v>
      </c>
      <c r="M153" s="2"/>
    </row>
    <row r="154" customFormat="false" ht="15" hidden="false" customHeight="false" outlineLevel="0" collapsed="false">
      <c r="A154" s="2" t="s">
        <v>601</v>
      </c>
      <c r="B154" s="2" t="s">
        <v>44</v>
      </c>
      <c r="C154" s="2" t="s">
        <v>47</v>
      </c>
      <c r="D154" s="2" t="s">
        <v>602</v>
      </c>
      <c r="E154" s="2" t="s">
        <v>603</v>
      </c>
      <c r="F154" s="2" t="s">
        <v>106</v>
      </c>
      <c r="G154" s="2" t="s">
        <v>435</v>
      </c>
      <c r="H154" s="11" t="n">
        <v>742</v>
      </c>
      <c r="I154" s="11" t="n">
        <v>742</v>
      </c>
      <c r="J154" s="13" t="n">
        <v>0.09</v>
      </c>
      <c r="K154" s="11" t="n">
        <f aca="false">ROUND(I154*J154,2)</f>
        <v>66.78</v>
      </c>
      <c r="L154" s="10" t="s">
        <v>341</v>
      </c>
      <c r="M154" s="2"/>
    </row>
    <row r="155" customFormat="false" ht="15" hidden="false" customHeight="false" outlineLevel="0" collapsed="false">
      <c r="A155" s="2" t="s">
        <v>604</v>
      </c>
      <c r="B155" s="2" t="s">
        <v>44</v>
      </c>
      <c r="C155" s="2" t="s">
        <v>47</v>
      </c>
      <c r="D155" s="2" t="s">
        <v>605</v>
      </c>
      <c r="E155" s="2" t="s">
        <v>606</v>
      </c>
      <c r="F155" s="2" t="s">
        <v>106</v>
      </c>
      <c r="G155" s="2" t="s">
        <v>319</v>
      </c>
      <c r="H155" s="11" t="n">
        <v>559</v>
      </c>
      <c r="I155" s="11" t="n">
        <v>559</v>
      </c>
      <c r="J155" s="13" t="n">
        <v>0.09</v>
      </c>
      <c r="K155" s="11" t="n">
        <f aca="false">ROUND(I155*J155,2)</f>
        <v>50.31</v>
      </c>
      <c r="L155" s="10" t="s">
        <v>341</v>
      </c>
      <c r="M155" s="2"/>
    </row>
    <row r="156" customFormat="false" ht="15" hidden="false" customHeight="false" outlineLevel="0" collapsed="false">
      <c r="A156" s="2" t="s">
        <v>607</v>
      </c>
      <c r="B156" s="2" t="s">
        <v>44</v>
      </c>
      <c r="C156" s="2" t="s">
        <v>47</v>
      </c>
      <c r="D156" s="2" t="s">
        <v>608</v>
      </c>
      <c r="E156" s="2" t="s">
        <v>609</v>
      </c>
      <c r="F156" s="2" t="s">
        <v>106</v>
      </c>
      <c r="G156" s="2" t="s">
        <v>301</v>
      </c>
      <c r="H156" s="11" t="n">
        <v>651</v>
      </c>
      <c r="I156" s="11" t="n">
        <v>651</v>
      </c>
      <c r="J156" s="13" t="n">
        <v>0.1</v>
      </c>
      <c r="K156" s="11" t="n">
        <f aca="false">ROUND(I156*J156,2)</f>
        <v>65.1</v>
      </c>
      <c r="L156" s="10" t="s">
        <v>341</v>
      </c>
      <c r="M156" s="2"/>
    </row>
    <row r="157" customFormat="false" ht="15" hidden="false" customHeight="false" outlineLevel="0" collapsed="false">
      <c r="A157" s="2" t="s">
        <v>610</v>
      </c>
      <c r="B157" s="2" t="s">
        <v>44</v>
      </c>
      <c r="C157" s="2" t="s">
        <v>47</v>
      </c>
      <c r="D157" s="2" t="s">
        <v>611</v>
      </c>
      <c r="E157" s="2" t="s">
        <v>612</v>
      </c>
      <c r="F157" s="2" t="s">
        <v>106</v>
      </c>
      <c r="G157" s="2" t="s">
        <v>467</v>
      </c>
      <c r="H157" s="11" t="n">
        <v>1545</v>
      </c>
      <c r="I157" s="11" t="n">
        <v>1545</v>
      </c>
      <c r="J157" s="13" t="n">
        <v>0.1</v>
      </c>
      <c r="K157" s="11" t="n">
        <f aca="false">ROUND(I157*J157,2)</f>
        <v>154.5</v>
      </c>
      <c r="L157" s="10" t="s">
        <v>341</v>
      </c>
      <c r="M157" s="2"/>
    </row>
    <row r="158" customFormat="false" ht="15" hidden="false" customHeight="false" outlineLevel="0" collapsed="false">
      <c r="A158" s="2" t="s">
        <v>613</v>
      </c>
      <c r="B158" s="2" t="s">
        <v>44</v>
      </c>
      <c r="C158" s="2" t="s">
        <v>47</v>
      </c>
      <c r="D158" s="2" t="s">
        <v>614</v>
      </c>
      <c r="E158" s="2" t="s">
        <v>615</v>
      </c>
      <c r="F158" s="2" t="s">
        <v>106</v>
      </c>
      <c r="G158" s="2" t="s">
        <v>386</v>
      </c>
      <c r="H158" s="11" t="n">
        <v>3635</v>
      </c>
      <c r="I158" s="11" t="n">
        <v>3635</v>
      </c>
      <c r="J158" s="13" t="n">
        <v>0.1</v>
      </c>
      <c r="K158" s="11" t="n">
        <f aca="false">ROUND(I158*J158,2)</f>
        <v>363.5</v>
      </c>
      <c r="L158" s="10" t="s">
        <v>341</v>
      </c>
      <c r="M158" s="2"/>
    </row>
    <row r="159" customFormat="false" ht="15" hidden="false" customHeight="false" outlineLevel="0" collapsed="false">
      <c r="A159" s="2" t="s">
        <v>616</v>
      </c>
      <c r="B159" s="2" t="s">
        <v>44</v>
      </c>
      <c r="C159" s="2" t="s">
        <v>47</v>
      </c>
      <c r="D159" s="2" t="s">
        <v>617</v>
      </c>
      <c r="E159" s="2" t="s">
        <v>618</v>
      </c>
      <c r="F159" s="2" t="s">
        <v>379</v>
      </c>
      <c r="G159" s="2" t="s">
        <v>424</v>
      </c>
      <c r="H159" s="11" t="n">
        <v>-674.55</v>
      </c>
      <c r="I159" s="11" t="n">
        <v>-674.55</v>
      </c>
      <c r="J159" s="13" t="n">
        <v>0.1</v>
      </c>
      <c r="K159" s="11" t="n">
        <f aca="false">ROUND(I159*J159,2)</f>
        <v>-67.46</v>
      </c>
      <c r="L159" s="10" t="s">
        <v>341</v>
      </c>
      <c r="M159" s="2"/>
    </row>
    <row r="160" customFormat="false" ht="15" hidden="false" customHeight="false" outlineLevel="0" collapsed="false">
      <c r="A160" s="2" t="s">
        <v>619</v>
      </c>
      <c r="B160" s="2" t="s">
        <v>44</v>
      </c>
      <c r="C160" s="2" t="s">
        <v>47</v>
      </c>
      <c r="D160" s="2" t="s">
        <v>620</v>
      </c>
      <c r="E160" s="2" t="s">
        <v>621</v>
      </c>
      <c r="F160" s="2" t="s">
        <v>290</v>
      </c>
      <c r="G160" s="2" t="s">
        <v>424</v>
      </c>
      <c r="H160" s="11" t="n">
        <v>-10.18</v>
      </c>
      <c r="I160" s="11" t="n">
        <v>-10.18</v>
      </c>
      <c r="J160" s="13" t="n">
        <v>0.1</v>
      </c>
      <c r="K160" s="11" t="n">
        <f aca="false">ROUND(I160*J160,2)</f>
        <v>-1.02</v>
      </c>
      <c r="L160" s="10" t="s">
        <v>341</v>
      </c>
      <c r="M160" s="2"/>
    </row>
    <row r="161" customFormat="false" ht="15" hidden="false" customHeight="false" outlineLevel="0" collapsed="false">
      <c r="A161" s="2" t="s">
        <v>619</v>
      </c>
      <c r="B161" s="2" t="s">
        <v>44</v>
      </c>
      <c r="C161" s="2" t="s">
        <v>47</v>
      </c>
      <c r="D161" s="2" t="s">
        <v>620</v>
      </c>
      <c r="E161" s="2" t="s">
        <v>621</v>
      </c>
      <c r="F161" s="2" t="s">
        <v>340</v>
      </c>
      <c r="G161" s="2" t="s">
        <v>307</v>
      </c>
      <c r="H161" s="11" t="n">
        <v>661.72</v>
      </c>
      <c r="I161" s="11" t="n">
        <v>661.72</v>
      </c>
      <c r="J161" s="13" t="n">
        <v>0.1</v>
      </c>
      <c r="K161" s="11" t="n">
        <f aca="false">ROUND(I161*J161,2)</f>
        <v>66.17</v>
      </c>
      <c r="L161" s="10" t="s">
        <v>341</v>
      </c>
      <c r="M161" s="2"/>
    </row>
    <row r="162" customFormat="false" ht="15" hidden="false" customHeight="false" outlineLevel="0" collapsed="false">
      <c r="A162" s="2" t="s">
        <v>619</v>
      </c>
      <c r="B162" s="2" t="s">
        <v>44</v>
      </c>
      <c r="C162" s="2" t="s">
        <v>47</v>
      </c>
      <c r="D162" s="2" t="s">
        <v>620</v>
      </c>
      <c r="E162" s="2" t="s">
        <v>621</v>
      </c>
      <c r="F162" s="2" t="s">
        <v>290</v>
      </c>
      <c r="G162" s="2" t="s">
        <v>319</v>
      </c>
      <c r="H162" s="11" t="n">
        <v>-920.76</v>
      </c>
      <c r="I162" s="11" t="n">
        <v>-920.76</v>
      </c>
      <c r="J162" s="13" t="n">
        <v>0.1</v>
      </c>
      <c r="K162" s="11" t="n">
        <f aca="false">ROUND(I162*J162,2)</f>
        <v>-92.08</v>
      </c>
      <c r="L162" s="10" t="s">
        <v>341</v>
      </c>
      <c r="M162" s="2"/>
    </row>
    <row r="163" customFormat="false" ht="15" hidden="false" customHeight="false" outlineLevel="0" collapsed="false">
      <c r="A163" s="2" t="s">
        <v>622</v>
      </c>
      <c r="B163" s="2" t="s">
        <v>44</v>
      </c>
      <c r="C163" s="2" t="s">
        <v>47</v>
      </c>
      <c r="D163" s="2" t="s">
        <v>623</v>
      </c>
      <c r="E163" s="2" t="s">
        <v>624</v>
      </c>
      <c r="F163" s="2" t="s">
        <v>290</v>
      </c>
      <c r="G163" s="2" t="s">
        <v>625</v>
      </c>
      <c r="H163" s="11" t="n">
        <v>-547</v>
      </c>
      <c r="I163" s="11" t="n">
        <v>-547</v>
      </c>
      <c r="J163" s="13" t="n">
        <v>0.1</v>
      </c>
      <c r="K163" s="11" t="n">
        <f aca="false">ROUND(I163*J163,2)</f>
        <v>-54.7</v>
      </c>
      <c r="L163" s="10" t="s">
        <v>341</v>
      </c>
      <c r="M163" s="2"/>
    </row>
    <row r="164" customFormat="false" ht="15" hidden="false" customHeight="false" outlineLevel="0" collapsed="false">
      <c r="A164" s="2" t="s">
        <v>626</v>
      </c>
      <c r="B164" s="2" t="s">
        <v>44</v>
      </c>
      <c r="C164" s="2" t="s">
        <v>47</v>
      </c>
      <c r="D164" s="2" t="s">
        <v>627</v>
      </c>
      <c r="E164" s="2" t="s">
        <v>628</v>
      </c>
      <c r="F164" s="2" t="s">
        <v>106</v>
      </c>
      <c r="G164" s="2" t="s">
        <v>303</v>
      </c>
      <c r="H164" s="11" t="n">
        <v>838</v>
      </c>
      <c r="I164" s="11" t="n">
        <v>838</v>
      </c>
      <c r="J164" s="13" t="n">
        <v>0.1</v>
      </c>
      <c r="K164" s="11" t="n">
        <f aca="false">ROUND(I164*J164,2)</f>
        <v>83.8</v>
      </c>
      <c r="L164" s="10" t="s">
        <v>341</v>
      </c>
      <c r="M164" s="2"/>
    </row>
    <row r="165" customFormat="false" ht="15" hidden="false" customHeight="false" outlineLevel="0" collapsed="false">
      <c r="A165" s="2" t="s">
        <v>626</v>
      </c>
      <c r="B165" s="2" t="s">
        <v>44</v>
      </c>
      <c r="C165" s="2" t="s">
        <v>47</v>
      </c>
      <c r="D165" s="2" t="s">
        <v>627</v>
      </c>
      <c r="E165" s="2" t="s">
        <v>628</v>
      </c>
      <c r="F165" s="2" t="s">
        <v>379</v>
      </c>
      <c r="G165" s="2" t="s">
        <v>303</v>
      </c>
      <c r="H165" s="11" t="n">
        <v>-838</v>
      </c>
      <c r="I165" s="11" t="n">
        <v>-838</v>
      </c>
      <c r="J165" s="13" t="n">
        <v>0.1</v>
      </c>
      <c r="K165" s="11" t="n">
        <f aca="false">ROUND(I165*J165,2)</f>
        <v>-83.8</v>
      </c>
      <c r="L165" s="10" t="s">
        <v>341</v>
      </c>
      <c r="M165" s="2"/>
    </row>
    <row r="166" customFormat="false" ht="15" hidden="false" customHeight="false" outlineLevel="0" collapsed="false">
      <c r="A166" s="2" t="s">
        <v>629</v>
      </c>
      <c r="B166" s="2" t="s">
        <v>44</v>
      </c>
      <c r="C166" s="2" t="s">
        <v>47</v>
      </c>
      <c r="D166" s="2" t="s">
        <v>630</v>
      </c>
      <c r="E166" s="2" t="s">
        <v>631</v>
      </c>
      <c r="F166" s="2" t="s">
        <v>379</v>
      </c>
      <c r="G166" s="2" t="s">
        <v>319</v>
      </c>
      <c r="H166" s="11" t="n">
        <v>-84.14</v>
      </c>
      <c r="I166" s="11" t="n">
        <v>-84.14</v>
      </c>
      <c r="J166" s="13" t="n">
        <v>0.1</v>
      </c>
      <c r="K166" s="11" t="n">
        <f aca="false">ROUND(I166*J166,2)</f>
        <v>-8.41</v>
      </c>
      <c r="L166" s="10" t="s">
        <v>341</v>
      </c>
      <c r="M166" s="2"/>
    </row>
    <row r="167" customFormat="false" ht="15" hidden="false" customHeight="false" outlineLevel="0" collapsed="false">
      <c r="A167" s="2" t="s">
        <v>632</v>
      </c>
      <c r="B167" s="2" t="s">
        <v>44</v>
      </c>
      <c r="C167" s="2" t="s">
        <v>47</v>
      </c>
      <c r="D167" s="2" t="s">
        <v>633</v>
      </c>
      <c r="E167" s="2" t="s">
        <v>634</v>
      </c>
      <c r="F167" s="2" t="s">
        <v>340</v>
      </c>
      <c r="G167" s="2" t="s">
        <v>309</v>
      </c>
      <c r="H167" s="11" t="n">
        <v>591.61</v>
      </c>
      <c r="I167" s="11" t="n">
        <v>591.61</v>
      </c>
      <c r="J167" s="13" t="n">
        <v>0.1</v>
      </c>
      <c r="K167" s="11" t="n">
        <f aca="false">ROUND(I167*J167,2)</f>
        <v>59.16</v>
      </c>
      <c r="L167" s="10" t="s">
        <v>341</v>
      </c>
      <c r="M167" s="2"/>
    </row>
    <row r="168" customFormat="false" ht="15" hidden="false" customHeight="false" outlineLevel="0" collapsed="false">
      <c r="A168" s="2" t="s">
        <v>632</v>
      </c>
      <c r="B168" s="2" t="s">
        <v>44</v>
      </c>
      <c r="C168" s="2" t="s">
        <v>47</v>
      </c>
      <c r="D168" s="2" t="s">
        <v>633</v>
      </c>
      <c r="E168" s="2" t="s">
        <v>634</v>
      </c>
      <c r="F168" s="2" t="s">
        <v>290</v>
      </c>
      <c r="G168" s="2" t="s">
        <v>299</v>
      </c>
      <c r="H168" s="11" t="n">
        <v>-31.38</v>
      </c>
      <c r="I168" s="11" t="n">
        <v>-31.38</v>
      </c>
      <c r="J168" s="13" t="n">
        <v>0.1</v>
      </c>
      <c r="K168" s="11" t="n">
        <f aca="false">ROUND(I168*J168,2)</f>
        <v>-3.14</v>
      </c>
      <c r="L168" s="10" t="s">
        <v>341</v>
      </c>
      <c r="M168" s="2"/>
    </row>
    <row r="169" customFormat="false" ht="15" hidden="false" customHeight="false" outlineLevel="0" collapsed="false">
      <c r="A169" s="2" t="s">
        <v>635</v>
      </c>
      <c r="B169" s="2" t="s">
        <v>44</v>
      </c>
      <c r="C169" s="2" t="s">
        <v>47</v>
      </c>
      <c r="D169" s="2" t="s">
        <v>636</v>
      </c>
      <c r="E169" s="2" t="s">
        <v>637</v>
      </c>
      <c r="F169" s="2" t="s">
        <v>290</v>
      </c>
      <c r="G169" s="2" t="s">
        <v>457</v>
      </c>
      <c r="H169" s="11" t="n">
        <v>-127.37</v>
      </c>
      <c r="I169" s="11" t="n">
        <v>-127.37</v>
      </c>
      <c r="J169" s="13" t="n">
        <v>0.1</v>
      </c>
      <c r="K169" s="11" t="n">
        <f aca="false">ROUND(I169*J169,2)</f>
        <v>-12.74</v>
      </c>
      <c r="L169" s="10" t="s">
        <v>341</v>
      </c>
      <c r="M169" s="2"/>
    </row>
    <row r="170" customFormat="false" ht="15" hidden="false" customHeight="false" outlineLevel="0" collapsed="false">
      <c r="A170" s="2" t="s">
        <v>638</v>
      </c>
      <c r="B170" s="2" t="s">
        <v>44</v>
      </c>
      <c r="C170" s="2" t="s">
        <v>47</v>
      </c>
      <c r="D170" s="2" t="s">
        <v>639</v>
      </c>
      <c r="E170" s="2" t="s">
        <v>640</v>
      </c>
      <c r="F170" s="2" t="s">
        <v>290</v>
      </c>
      <c r="G170" s="2" t="s">
        <v>435</v>
      </c>
      <c r="H170" s="11" t="n">
        <v>-256.32</v>
      </c>
      <c r="I170" s="11" t="n">
        <v>-256.32</v>
      </c>
      <c r="J170" s="13" t="n">
        <v>0.1</v>
      </c>
      <c r="K170" s="11" t="n">
        <f aca="false">ROUND(I170*J170,2)</f>
        <v>-25.63</v>
      </c>
      <c r="L170" s="10" t="s">
        <v>341</v>
      </c>
      <c r="M170" s="2"/>
    </row>
    <row r="171" customFormat="false" ht="15" hidden="false" customHeight="false" outlineLevel="0" collapsed="false">
      <c r="A171" s="2" t="s">
        <v>638</v>
      </c>
      <c r="B171" s="2" t="s">
        <v>44</v>
      </c>
      <c r="C171" s="2" t="s">
        <v>47</v>
      </c>
      <c r="D171" s="2" t="s">
        <v>639</v>
      </c>
      <c r="E171" s="2" t="s">
        <v>640</v>
      </c>
      <c r="F171" s="2" t="s">
        <v>379</v>
      </c>
      <c r="G171" s="2" t="s">
        <v>431</v>
      </c>
      <c r="H171" s="11" t="n">
        <v>-979.29</v>
      </c>
      <c r="I171" s="11" t="n">
        <v>-979.29</v>
      </c>
      <c r="J171" s="13" t="n">
        <v>0.1</v>
      </c>
      <c r="K171" s="11" t="n">
        <f aca="false">ROUND(I171*J171,2)</f>
        <v>-97.93</v>
      </c>
      <c r="L171" s="10" t="s">
        <v>341</v>
      </c>
      <c r="M171" s="2"/>
    </row>
    <row r="172" customFormat="false" ht="15" hidden="false" customHeight="false" outlineLevel="0" collapsed="false">
      <c r="A172" s="2" t="s">
        <v>641</v>
      </c>
      <c r="B172" s="2" t="s">
        <v>44</v>
      </c>
      <c r="C172" s="2" t="s">
        <v>47</v>
      </c>
      <c r="D172" s="2" t="s">
        <v>642</v>
      </c>
      <c r="E172" s="2" t="s">
        <v>643</v>
      </c>
      <c r="F172" s="2" t="s">
        <v>106</v>
      </c>
      <c r="G172" s="2" t="s">
        <v>301</v>
      </c>
      <c r="H172" s="11" t="n">
        <v>3082</v>
      </c>
      <c r="I172" s="11" t="n">
        <v>3082</v>
      </c>
      <c r="J172" s="13" t="n">
        <v>0.1</v>
      </c>
      <c r="K172" s="11" t="n">
        <f aca="false">ROUND(I172*J172,2)</f>
        <v>308.2</v>
      </c>
      <c r="L172" s="10" t="s">
        <v>341</v>
      </c>
      <c r="M172" s="2"/>
    </row>
    <row r="173" customFormat="false" ht="15" hidden="false" customHeight="false" outlineLevel="0" collapsed="false">
      <c r="A173" s="2" t="s">
        <v>644</v>
      </c>
      <c r="B173" s="2" t="s">
        <v>44</v>
      </c>
      <c r="C173" s="2" t="s">
        <v>47</v>
      </c>
      <c r="D173" s="2" t="s">
        <v>645</v>
      </c>
      <c r="E173" s="2" t="s">
        <v>646</v>
      </c>
      <c r="F173" s="2" t="s">
        <v>290</v>
      </c>
      <c r="G173" s="2" t="s">
        <v>326</v>
      </c>
      <c r="H173" s="11" t="n">
        <v>-89.18</v>
      </c>
      <c r="I173" s="11" t="n">
        <v>-89.18</v>
      </c>
      <c r="J173" s="13" t="n">
        <v>0.1</v>
      </c>
      <c r="K173" s="11" t="n">
        <f aca="false">ROUND(I173*J173,2)</f>
        <v>-8.92</v>
      </c>
      <c r="L173" s="10" t="s">
        <v>341</v>
      </c>
      <c r="M173" s="2"/>
    </row>
    <row r="174" customFormat="false" ht="15" hidden="false" customHeight="false" outlineLevel="0" collapsed="false">
      <c r="A174" s="2" t="s">
        <v>647</v>
      </c>
      <c r="B174" s="2" t="s">
        <v>44</v>
      </c>
      <c r="C174" s="2" t="s">
        <v>47</v>
      </c>
      <c r="D174" s="2" t="s">
        <v>648</v>
      </c>
      <c r="E174" s="2" t="s">
        <v>649</v>
      </c>
      <c r="F174" s="2" t="s">
        <v>340</v>
      </c>
      <c r="G174" s="2" t="s">
        <v>554</v>
      </c>
      <c r="H174" s="11" t="n">
        <v>68.66</v>
      </c>
      <c r="I174" s="11" t="n">
        <v>68.66</v>
      </c>
      <c r="J174" s="13" t="n">
        <v>0.1</v>
      </c>
      <c r="K174" s="11" t="n">
        <f aca="false">ROUND(I174*J174,2)</f>
        <v>6.87</v>
      </c>
      <c r="L174" s="10" t="s">
        <v>341</v>
      </c>
      <c r="M174" s="2"/>
    </row>
    <row r="175" customFormat="false" ht="15" hidden="false" customHeight="false" outlineLevel="0" collapsed="false">
      <c r="A175" s="2" t="s">
        <v>650</v>
      </c>
      <c r="B175" s="2" t="s">
        <v>44</v>
      </c>
      <c r="C175" s="2" t="s">
        <v>47</v>
      </c>
      <c r="D175" s="2" t="s">
        <v>651</v>
      </c>
      <c r="E175" s="2" t="s">
        <v>652</v>
      </c>
      <c r="F175" s="2" t="s">
        <v>290</v>
      </c>
      <c r="G175" s="2" t="s">
        <v>303</v>
      </c>
      <c r="H175" s="11" t="n">
        <v>-7</v>
      </c>
      <c r="I175" s="11" t="n">
        <v>-7</v>
      </c>
      <c r="J175" s="13" t="n">
        <v>0.1</v>
      </c>
      <c r="K175" s="11" t="n">
        <f aca="false">ROUND(I175*J175,2)</f>
        <v>-0.7</v>
      </c>
      <c r="L175" s="10" t="s">
        <v>341</v>
      </c>
      <c r="M175" s="2"/>
    </row>
    <row r="176" customFormat="false" ht="15" hidden="false" customHeight="false" outlineLevel="0" collapsed="false">
      <c r="A176" s="2" t="s">
        <v>653</v>
      </c>
      <c r="B176" s="2" t="s">
        <v>44</v>
      </c>
      <c r="C176" s="2" t="s">
        <v>47</v>
      </c>
      <c r="D176" s="2" t="s">
        <v>654</v>
      </c>
      <c r="E176" s="2" t="s">
        <v>655</v>
      </c>
      <c r="F176" s="2" t="s">
        <v>290</v>
      </c>
      <c r="G176" s="2" t="s">
        <v>324</v>
      </c>
      <c r="H176" s="11" t="n">
        <v>-740</v>
      </c>
      <c r="I176" s="11" t="n">
        <v>-740</v>
      </c>
      <c r="J176" s="13" t="n">
        <v>0.1</v>
      </c>
      <c r="K176" s="11" t="n">
        <f aca="false">ROUND(I176*J176,2)</f>
        <v>-74</v>
      </c>
      <c r="L176" s="10" t="s">
        <v>341</v>
      </c>
      <c r="M176" s="2"/>
    </row>
    <row r="177" customFormat="false" ht="15" hidden="false" customHeight="false" outlineLevel="0" collapsed="false">
      <c r="A177" s="2" t="s">
        <v>656</v>
      </c>
      <c r="B177" s="2" t="s">
        <v>44</v>
      </c>
      <c r="C177" s="2" t="s">
        <v>47</v>
      </c>
      <c r="D177" s="2" t="s">
        <v>657</v>
      </c>
      <c r="E177" s="2" t="s">
        <v>658</v>
      </c>
      <c r="F177" s="2" t="s">
        <v>106</v>
      </c>
      <c r="G177" s="2" t="s">
        <v>457</v>
      </c>
      <c r="H177" s="11" t="n">
        <v>1984</v>
      </c>
      <c r="I177" s="11" t="n">
        <v>1984</v>
      </c>
      <c r="J177" s="13" t="n">
        <v>0.1</v>
      </c>
      <c r="K177" s="11" t="n">
        <f aca="false">ROUND(I177*J177,2)</f>
        <v>198.4</v>
      </c>
      <c r="L177" s="10" t="s">
        <v>341</v>
      </c>
      <c r="M177" s="2"/>
    </row>
    <row r="178" customFormat="false" ht="15" hidden="false" customHeight="false" outlineLevel="0" collapsed="false">
      <c r="A178" s="2" t="s">
        <v>659</v>
      </c>
      <c r="B178" s="2" t="s">
        <v>44</v>
      </c>
      <c r="C178" s="2" t="s">
        <v>47</v>
      </c>
      <c r="D178" s="2" t="s">
        <v>660</v>
      </c>
      <c r="E178" s="2" t="s">
        <v>661</v>
      </c>
      <c r="F178" s="2" t="s">
        <v>379</v>
      </c>
      <c r="G178" s="2" t="s">
        <v>386</v>
      </c>
      <c r="H178" s="11" t="n">
        <v>-525.1</v>
      </c>
      <c r="I178" s="11" t="n">
        <v>-525.1</v>
      </c>
      <c r="J178" s="13" t="n">
        <v>0.1</v>
      </c>
      <c r="K178" s="11" t="n">
        <f aca="false">ROUND(I178*J178,2)</f>
        <v>-52.51</v>
      </c>
      <c r="L178" s="10" t="s">
        <v>341</v>
      </c>
      <c r="M178" s="2"/>
    </row>
    <row r="179" customFormat="false" ht="15" hidden="false" customHeight="false" outlineLevel="0" collapsed="false">
      <c r="A179" s="2" t="s">
        <v>662</v>
      </c>
      <c r="B179" s="2" t="s">
        <v>44</v>
      </c>
      <c r="C179" s="2" t="s">
        <v>47</v>
      </c>
      <c r="D179" s="2" t="s">
        <v>663</v>
      </c>
      <c r="E179" s="2" t="s">
        <v>664</v>
      </c>
      <c r="F179" s="2" t="s">
        <v>106</v>
      </c>
      <c r="G179" s="2" t="s">
        <v>313</v>
      </c>
      <c r="H179" s="11" t="n">
        <v>3441</v>
      </c>
      <c r="I179" s="11" t="n">
        <v>3441</v>
      </c>
      <c r="J179" s="13" t="n">
        <v>0.1</v>
      </c>
      <c r="K179" s="11" t="n">
        <f aca="false">ROUND(I179*J179,2)</f>
        <v>344.1</v>
      </c>
      <c r="L179" s="10" t="s">
        <v>341</v>
      </c>
      <c r="M179" s="2"/>
    </row>
    <row r="180" customFormat="false" ht="15" hidden="false" customHeight="false" outlineLevel="0" collapsed="false">
      <c r="A180" s="2" t="s">
        <v>665</v>
      </c>
      <c r="B180" s="2" t="s">
        <v>44</v>
      </c>
      <c r="C180" s="2" t="s">
        <v>47</v>
      </c>
      <c r="D180" s="2" t="s">
        <v>666</v>
      </c>
      <c r="E180" s="2" t="s">
        <v>667</v>
      </c>
      <c r="F180" s="2" t="s">
        <v>106</v>
      </c>
      <c r="G180" s="2" t="s">
        <v>375</v>
      </c>
      <c r="H180" s="11" t="n">
        <v>1096</v>
      </c>
      <c r="I180" s="11" t="n">
        <v>1096</v>
      </c>
      <c r="J180" s="13" t="n">
        <v>0.1</v>
      </c>
      <c r="K180" s="11" t="n">
        <f aca="false">ROUND(I180*J180,2)</f>
        <v>109.6</v>
      </c>
      <c r="L180" s="10" t="s">
        <v>341</v>
      </c>
      <c r="M180" s="2"/>
    </row>
    <row r="181" customFormat="false" ht="15" hidden="false" customHeight="false" outlineLevel="0" collapsed="false">
      <c r="A181" s="2" t="s">
        <v>668</v>
      </c>
      <c r="B181" s="2" t="s">
        <v>44</v>
      </c>
      <c r="C181" s="2" t="s">
        <v>47</v>
      </c>
      <c r="D181" s="2" t="s">
        <v>669</v>
      </c>
      <c r="E181" s="2" t="s">
        <v>670</v>
      </c>
      <c r="F181" s="2" t="s">
        <v>106</v>
      </c>
      <c r="G181" s="2" t="s">
        <v>583</v>
      </c>
      <c r="H181" s="11" t="n">
        <v>1777</v>
      </c>
      <c r="I181" s="11" t="n">
        <v>1777</v>
      </c>
      <c r="J181" s="13" t="n">
        <v>0.1</v>
      </c>
      <c r="K181" s="11" t="n">
        <f aca="false">ROUND(I181*J181,2)</f>
        <v>177.7</v>
      </c>
      <c r="L181" s="10" t="s">
        <v>341</v>
      </c>
      <c r="M181" s="2"/>
    </row>
    <row r="182" customFormat="false" ht="15" hidden="false" customHeight="false" outlineLevel="0" collapsed="false">
      <c r="A182" s="2" t="s">
        <v>671</v>
      </c>
      <c r="B182" s="2" t="s">
        <v>44</v>
      </c>
      <c r="C182" s="2" t="s">
        <v>47</v>
      </c>
      <c r="D182" s="2" t="s">
        <v>672</v>
      </c>
      <c r="E182" s="2" t="s">
        <v>673</v>
      </c>
      <c r="F182" s="2" t="s">
        <v>106</v>
      </c>
      <c r="G182" s="2" t="s">
        <v>453</v>
      </c>
      <c r="H182" s="11" t="n">
        <v>1742</v>
      </c>
      <c r="I182" s="11" t="n">
        <v>1742</v>
      </c>
      <c r="J182" s="13" t="n">
        <v>0.1</v>
      </c>
      <c r="K182" s="11" t="n">
        <f aca="false">ROUND(I182*J182,2)</f>
        <v>174.2</v>
      </c>
      <c r="L182" s="10" t="s">
        <v>341</v>
      </c>
      <c r="M182" s="2"/>
    </row>
    <row r="183" customFormat="false" ht="15" hidden="false" customHeight="false" outlineLevel="0" collapsed="false">
      <c r="A183" s="2" t="s">
        <v>674</v>
      </c>
      <c r="B183" s="2" t="s">
        <v>44</v>
      </c>
      <c r="C183" s="2" t="s">
        <v>47</v>
      </c>
      <c r="D183" s="2" t="s">
        <v>675</v>
      </c>
      <c r="E183" s="2" t="s">
        <v>676</v>
      </c>
      <c r="F183" s="2" t="s">
        <v>290</v>
      </c>
      <c r="G183" s="2" t="s">
        <v>467</v>
      </c>
      <c r="H183" s="11" t="n">
        <v>-16.24</v>
      </c>
      <c r="I183" s="11" t="n">
        <v>-16.24</v>
      </c>
      <c r="J183" s="13" t="n">
        <v>0.1</v>
      </c>
      <c r="K183" s="11" t="n">
        <f aca="false">ROUND(I183*J183,2)</f>
        <v>-1.62</v>
      </c>
      <c r="L183" s="10" t="s">
        <v>341</v>
      </c>
      <c r="M183" s="2"/>
    </row>
    <row r="184" customFormat="false" ht="15" hidden="false" customHeight="false" outlineLevel="0" collapsed="false">
      <c r="A184" s="2" t="s">
        <v>677</v>
      </c>
      <c r="B184" s="2" t="s">
        <v>44</v>
      </c>
      <c r="C184" s="2" t="s">
        <v>47</v>
      </c>
      <c r="D184" s="2" t="s">
        <v>678</v>
      </c>
      <c r="E184" s="2" t="s">
        <v>679</v>
      </c>
      <c r="F184" s="2" t="s">
        <v>379</v>
      </c>
      <c r="G184" s="2" t="s">
        <v>375</v>
      </c>
      <c r="H184" s="11" t="n">
        <v>-240.61</v>
      </c>
      <c r="I184" s="11" t="n">
        <v>-240.61</v>
      </c>
      <c r="J184" s="13" t="n">
        <v>0.1</v>
      </c>
      <c r="K184" s="11" t="n">
        <f aca="false">ROUND(I184*J184,2)</f>
        <v>-24.06</v>
      </c>
      <c r="L184" s="10" t="s">
        <v>341</v>
      </c>
      <c r="M184" s="2"/>
    </row>
    <row r="185" customFormat="false" ht="15" hidden="false" customHeight="false" outlineLevel="0" collapsed="false">
      <c r="A185" s="2" t="s">
        <v>680</v>
      </c>
      <c r="B185" s="2" t="s">
        <v>44</v>
      </c>
      <c r="C185" s="2" t="s">
        <v>47</v>
      </c>
      <c r="D185" s="2" t="s">
        <v>681</v>
      </c>
      <c r="E185" s="2" t="s">
        <v>682</v>
      </c>
      <c r="F185" s="2" t="s">
        <v>106</v>
      </c>
      <c r="G185" s="2" t="s">
        <v>303</v>
      </c>
      <c r="H185" s="11" t="n">
        <v>660</v>
      </c>
      <c r="I185" s="11" t="n">
        <v>660</v>
      </c>
      <c r="J185" s="13" t="n">
        <v>0.1</v>
      </c>
      <c r="K185" s="11" t="n">
        <f aca="false">ROUND(I185*J185,2)</f>
        <v>66</v>
      </c>
      <c r="L185" s="10" t="s">
        <v>341</v>
      </c>
      <c r="M185" s="2"/>
    </row>
    <row r="186" customFormat="false" ht="15" hidden="false" customHeight="false" outlineLevel="0" collapsed="false">
      <c r="A186" s="2" t="s">
        <v>683</v>
      </c>
      <c r="B186" s="2" t="s">
        <v>44</v>
      </c>
      <c r="C186" s="2" t="s">
        <v>47</v>
      </c>
      <c r="D186" s="2" t="s">
        <v>684</v>
      </c>
      <c r="E186" s="2" t="s">
        <v>685</v>
      </c>
      <c r="F186" s="2" t="s">
        <v>106</v>
      </c>
      <c r="G186" s="2" t="s">
        <v>467</v>
      </c>
      <c r="H186" s="11" t="n">
        <v>1081</v>
      </c>
      <c r="I186" s="11" t="n">
        <v>1081</v>
      </c>
      <c r="J186" s="13" t="n">
        <v>0.1</v>
      </c>
      <c r="K186" s="11" t="n">
        <f aca="false">ROUND(I186*J186,2)</f>
        <v>108.1</v>
      </c>
      <c r="L186" s="10" t="s">
        <v>341</v>
      </c>
      <c r="M186" s="2"/>
    </row>
    <row r="187" customFormat="false" ht="15" hidden="false" customHeight="false" outlineLevel="0" collapsed="false">
      <c r="A187" s="2" t="s">
        <v>686</v>
      </c>
      <c r="B187" s="2" t="s">
        <v>44</v>
      </c>
      <c r="C187" s="2" t="s">
        <v>47</v>
      </c>
      <c r="D187" s="2" t="s">
        <v>687</v>
      </c>
      <c r="E187" s="2" t="s">
        <v>688</v>
      </c>
      <c r="F187" s="2" t="s">
        <v>106</v>
      </c>
      <c r="G187" s="2" t="s">
        <v>453</v>
      </c>
      <c r="H187" s="11" t="n">
        <v>47365</v>
      </c>
      <c r="I187" s="11" t="n">
        <v>47365</v>
      </c>
      <c r="J187" s="13" t="n">
        <v>0.1</v>
      </c>
      <c r="K187" s="11" t="n">
        <f aca="false">ROUND(I187*J187,2)</f>
        <v>4736.5</v>
      </c>
      <c r="L187" s="10" t="s">
        <v>341</v>
      </c>
      <c r="M187" s="2"/>
    </row>
    <row r="188" customFormat="false" ht="15" hidden="false" customHeight="false" outlineLevel="0" collapsed="false">
      <c r="A188" s="2" t="s">
        <v>686</v>
      </c>
      <c r="B188" s="2" t="s">
        <v>44</v>
      </c>
      <c r="C188" s="2" t="s">
        <v>47</v>
      </c>
      <c r="D188" s="2" t="s">
        <v>687</v>
      </c>
      <c r="E188" s="2" t="s">
        <v>688</v>
      </c>
      <c r="F188" s="2" t="s">
        <v>340</v>
      </c>
      <c r="G188" s="2" t="s">
        <v>431</v>
      </c>
      <c r="H188" s="11" t="n">
        <v>400</v>
      </c>
      <c r="I188" s="11" t="n">
        <v>400</v>
      </c>
      <c r="J188" s="13" t="n">
        <v>0.1</v>
      </c>
      <c r="K188" s="11" t="n">
        <f aca="false">ROUND(I188*J188,2)</f>
        <v>40</v>
      </c>
      <c r="L188" s="10" t="s">
        <v>341</v>
      </c>
      <c r="M188" s="2"/>
    </row>
    <row r="189" customFormat="false" ht="15" hidden="false" customHeight="false" outlineLevel="0" collapsed="false">
      <c r="A189" s="2" t="s">
        <v>689</v>
      </c>
      <c r="B189" s="2" t="s">
        <v>44</v>
      </c>
      <c r="C189" s="2" t="s">
        <v>47</v>
      </c>
      <c r="D189" s="2" t="s">
        <v>690</v>
      </c>
      <c r="E189" s="2" t="s">
        <v>691</v>
      </c>
      <c r="F189" s="2" t="s">
        <v>106</v>
      </c>
      <c r="G189" s="2" t="s">
        <v>453</v>
      </c>
      <c r="H189" s="11" t="n">
        <v>2048</v>
      </c>
      <c r="I189" s="11" t="n">
        <v>2048</v>
      </c>
      <c r="J189" s="13" t="n">
        <v>0.1</v>
      </c>
      <c r="K189" s="11" t="n">
        <f aca="false">ROUND(I189*J189,2)</f>
        <v>204.8</v>
      </c>
      <c r="L189" s="10" t="s">
        <v>341</v>
      </c>
      <c r="M189" s="2"/>
    </row>
    <row r="190" customFormat="false" ht="15" hidden="false" customHeight="false" outlineLevel="0" collapsed="false">
      <c r="A190" s="26" t="s">
        <v>270</v>
      </c>
      <c r="B190" s="26" t="s">
        <v>27</v>
      </c>
      <c r="C190" s="26" t="s">
        <v>30</v>
      </c>
      <c r="D190" s="26" t="s">
        <v>269</v>
      </c>
      <c r="E190" s="26" t="s">
        <v>692</v>
      </c>
      <c r="F190" s="26" t="s">
        <v>106</v>
      </c>
      <c r="G190" s="26" t="s">
        <v>309</v>
      </c>
      <c r="H190" s="27" t="n">
        <v>1425</v>
      </c>
      <c r="I190" s="27" t="n">
        <v>1425</v>
      </c>
      <c r="J190" s="28" t="n">
        <v>0.1</v>
      </c>
      <c r="K190" s="27" t="n">
        <f aca="false">ROUND(I190*J190,2)</f>
        <v>142.5</v>
      </c>
      <c r="L190" s="29" t="s">
        <v>292</v>
      </c>
      <c r="M190" s="26" t="s">
        <v>268</v>
      </c>
    </row>
    <row r="191" customFormat="false" ht="15" hidden="false" customHeight="false" outlineLevel="0" collapsed="false">
      <c r="A191" s="26" t="s">
        <v>31</v>
      </c>
      <c r="B191" s="26" t="s">
        <v>27</v>
      </c>
      <c r="C191" s="26" t="s">
        <v>30</v>
      </c>
      <c r="D191" s="26" t="s">
        <v>28</v>
      </c>
      <c r="E191" s="26" t="s">
        <v>693</v>
      </c>
      <c r="F191" s="26" t="s">
        <v>694</v>
      </c>
      <c r="G191" s="26" t="s">
        <v>472</v>
      </c>
      <c r="H191" s="27" t="n">
        <v>1183</v>
      </c>
      <c r="I191" s="27" t="n">
        <v>1183</v>
      </c>
      <c r="J191" s="28" t="n">
        <v>0.1</v>
      </c>
      <c r="K191" s="27" t="n">
        <f aca="false">ROUND(I191*J191,2)</f>
        <v>118.3</v>
      </c>
      <c r="L191" s="29" t="s">
        <v>292</v>
      </c>
      <c r="M191" s="26" t="s">
        <v>23</v>
      </c>
    </row>
    <row r="192" customFormat="false" ht="15" hidden="false" customHeight="false" outlineLevel="0" collapsed="false">
      <c r="A192" s="26" t="s">
        <v>35</v>
      </c>
      <c r="B192" s="26" t="s">
        <v>27</v>
      </c>
      <c r="C192" s="26" t="s">
        <v>30</v>
      </c>
      <c r="D192" s="26" t="s">
        <v>33</v>
      </c>
      <c r="E192" s="26" t="s">
        <v>695</v>
      </c>
      <c r="F192" s="26" t="s">
        <v>694</v>
      </c>
      <c r="G192" s="26" t="s">
        <v>407</v>
      </c>
      <c r="H192" s="27" t="n">
        <v>934</v>
      </c>
      <c r="I192" s="27" t="n">
        <v>934</v>
      </c>
      <c r="J192" s="28" t="n">
        <v>0.1</v>
      </c>
      <c r="K192" s="27" t="n">
        <f aca="false">ROUND(I192*J192,2)</f>
        <v>93.4</v>
      </c>
      <c r="L192" s="29" t="s">
        <v>292</v>
      </c>
      <c r="M192" s="26" t="s">
        <v>32</v>
      </c>
    </row>
    <row r="193" customFormat="false" ht="15" hidden="false" customHeight="false" outlineLevel="0" collapsed="false">
      <c r="A193" s="26" t="s">
        <v>79</v>
      </c>
      <c r="B193" s="26" t="s">
        <v>27</v>
      </c>
      <c r="C193" s="26" t="s">
        <v>30</v>
      </c>
      <c r="D193" s="26" t="s">
        <v>77</v>
      </c>
      <c r="E193" s="26" t="s">
        <v>696</v>
      </c>
      <c r="F193" s="26" t="s">
        <v>694</v>
      </c>
      <c r="G193" s="26" t="s">
        <v>303</v>
      </c>
      <c r="H193" s="27" t="n">
        <v>810</v>
      </c>
      <c r="I193" s="27" t="n">
        <v>810</v>
      </c>
      <c r="J193" s="28" t="n">
        <v>0.1</v>
      </c>
      <c r="K193" s="27" t="n">
        <f aca="false">ROUND(I193*J193,2)</f>
        <v>81</v>
      </c>
      <c r="L193" s="29" t="s">
        <v>292</v>
      </c>
      <c r="M193" s="26" t="s">
        <v>76</v>
      </c>
    </row>
    <row r="194" customFormat="false" ht="15" hidden="false" customHeight="false" outlineLevel="0" collapsed="false">
      <c r="A194" s="26" t="s">
        <v>87</v>
      </c>
      <c r="B194" s="26" t="s">
        <v>27</v>
      </c>
      <c r="C194" s="26" t="s">
        <v>30</v>
      </c>
      <c r="D194" s="26" t="s">
        <v>85</v>
      </c>
      <c r="E194" s="26" t="s">
        <v>697</v>
      </c>
      <c r="F194" s="26" t="s">
        <v>694</v>
      </c>
      <c r="G194" s="26" t="s">
        <v>313</v>
      </c>
      <c r="H194" s="27" t="n">
        <v>1450</v>
      </c>
      <c r="I194" s="27" t="n">
        <v>1450</v>
      </c>
      <c r="J194" s="28" t="n">
        <v>0.1</v>
      </c>
      <c r="K194" s="27" t="n">
        <f aca="false">ROUND(I194*J194,2)</f>
        <v>145</v>
      </c>
      <c r="L194" s="29" t="s">
        <v>292</v>
      </c>
      <c r="M194" s="26" t="s">
        <v>84</v>
      </c>
    </row>
    <row r="195" customFormat="false" ht="15" hidden="false" customHeight="false" outlineLevel="0" collapsed="false">
      <c r="A195" s="2" t="s">
        <v>698</v>
      </c>
      <c r="B195" s="2" t="s">
        <v>27</v>
      </c>
      <c r="C195" s="2" t="s">
        <v>30</v>
      </c>
      <c r="D195" s="2" t="s">
        <v>699</v>
      </c>
      <c r="E195" s="2" t="s">
        <v>700</v>
      </c>
      <c r="F195" s="2" t="s">
        <v>701</v>
      </c>
      <c r="G195" s="2" t="s">
        <v>295</v>
      </c>
      <c r="H195" s="11" t="n">
        <v>36</v>
      </c>
      <c r="I195" s="11" t="n">
        <v>36</v>
      </c>
      <c r="J195" s="13" t="n">
        <v>0.1</v>
      </c>
      <c r="K195" s="11" t="n">
        <f aca="false">ROUND(I195*J195,2)</f>
        <v>3.6</v>
      </c>
      <c r="L195" s="10" t="s">
        <v>341</v>
      </c>
      <c r="M195" s="2"/>
    </row>
    <row r="196" customFormat="false" ht="15" hidden="false" customHeight="false" outlineLevel="0" collapsed="false">
      <c r="A196" s="2" t="s">
        <v>698</v>
      </c>
      <c r="B196" s="2" t="s">
        <v>27</v>
      </c>
      <c r="C196" s="2" t="s">
        <v>30</v>
      </c>
      <c r="D196" s="2" t="s">
        <v>699</v>
      </c>
      <c r="E196" s="2" t="s">
        <v>700</v>
      </c>
      <c r="F196" s="2" t="s">
        <v>702</v>
      </c>
      <c r="G196" s="2" t="s">
        <v>315</v>
      </c>
      <c r="H196" s="11" t="n">
        <v>-189</v>
      </c>
      <c r="I196" s="11" t="n">
        <v>-189</v>
      </c>
      <c r="J196" s="13" t="n">
        <v>0.1</v>
      </c>
      <c r="K196" s="11" t="n">
        <f aca="false">ROUND(I196*J196,2)</f>
        <v>-18.9</v>
      </c>
      <c r="L196" s="10" t="s">
        <v>341</v>
      </c>
      <c r="M196" s="2"/>
    </row>
    <row r="197" customFormat="false" ht="15" hidden="false" customHeight="false" outlineLevel="0" collapsed="false">
      <c r="A197" s="2" t="s">
        <v>703</v>
      </c>
      <c r="B197" s="2" t="s">
        <v>27</v>
      </c>
      <c r="C197" s="2" t="s">
        <v>30</v>
      </c>
      <c r="D197" s="2" t="s">
        <v>704</v>
      </c>
      <c r="E197" s="2" t="s">
        <v>705</v>
      </c>
      <c r="F197" s="2" t="s">
        <v>694</v>
      </c>
      <c r="G197" s="2" t="s">
        <v>554</v>
      </c>
      <c r="H197" s="11" t="n">
        <v>361</v>
      </c>
      <c r="I197" s="11" t="n">
        <v>361</v>
      </c>
      <c r="J197" s="13" t="n">
        <v>0.1</v>
      </c>
      <c r="K197" s="11" t="n">
        <f aca="false">ROUND(I197*J197,2)</f>
        <v>36.1</v>
      </c>
      <c r="L197" s="10" t="s">
        <v>341</v>
      </c>
      <c r="M197" s="2"/>
    </row>
    <row r="198" customFormat="false" ht="15" hidden="false" customHeight="false" outlineLevel="0" collapsed="false">
      <c r="A198" s="2" t="s">
        <v>706</v>
      </c>
      <c r="B198" s="2" t="s">
        <v>27</v>
      </c>
      <c r="C198" s="2" t="s">
        <v>30</v>
      </c>
      <c r="D198" s="2" t="s">
        <v>707</v>
      </c>
      <c r="E198" s="2" t="s">
        <v>708</v>
      </c>
      <c r="F198" s="2" t="s">
        <v>702</v>
      </c>
      <c r="G198" s="2" t="s">
        <v>386</v>
      </c>
      <c r="H198" s="11" t="n">
        <v>-2950</v>
      </c>
      <c r="I198" s="11" t="n">
        <v>-2950</v>
      </c>
      <c r="J198" s="13" t="n">
        <v>0.1</v>
      </c>
      <c r="K198" s="11" t="n">
        <f aca="false">ROUND(I198*J198,2)</f>
        <v>-295</v>
      </c>
      <c r="L198" s="10" t="s">
        <v>341</v>
      </c>
      <c r="M198" s="2"/>
    </row>
    <row r="199" customFormat="false" ht="15" hidden="false" customHeight="false" outlineLevel="0" collapsed="false">
      <c r="A199" s="2" t="s">
        <v>706</v>
      </c>
      <c r="B199" s="2" t="s">
        <v>27</v>
      </c>
      <c r="C199" s="2" t="s">
        <v>30</v>
      </c>
      <c r="D199" s="2" t="s">
        <v>707</v>
      </c>
      <c r="E199" s="2" t="s">
        <v>708</v>
      </c>
      <c r="F199" s="2" t="s">
        <v>702</v>
      </c>
      <c r="G199" s="2" t="s">
        <v>709</v>
      </c>
      <c r="H199" s="11" t="n">
        <v>-584</v>
      </c>
      <c r="I199" s="11" t="n">
        <v>-584</v>
      </c>
      <c r="J199" s="13" t="n">
        <v>0.1</v>
      </c>
      <c r="K199" s="11" t="n">
        <f aca="false">ROUND(I199*J199,2)</f>
        <v>-58.4</v>
      </c>
      <c r="L199" s="10" t="s">
        <v>341</v>
      </c>
      <c r="M199" s="2"/>
    </row>
    <row r="200" customFormat="false" ht="15" hidden="false" customHeight="false" outlineLevel="0" collapsed="false">
      <c r="A200" s="2" t="s">
        <v>710</v>
      </c>
      <c r="B200" s="2" t="s">
        <v>27</v>
      </c>
      <c r="C200" s="2" t="s">
        <v>30</v>
      </c>
      <c r="D200" s="2" t="s">
        <v>711</v>
      </c>
      <c r="E200" s="2" t="s">
        <v>712</v>
      </c>
      <c r="F200" s="2" t="s">
        <v>702</v>
      </c>
      <c r="G200" s="2" t="s">
        <v>326</v>
      </c>
      <c r="H200" s="11" t="n">
        <v>-460</v>
      </c>
      <c r="I200" s="11" t="n">
        <v>-460</v>
      </c>
      <c r="J200" s="13" t="n">
        <v>0.1</v>
      </c>
      <c r="K200" s="11" t="n">
        <f aca="false">ROUND(I200*J200,2)</f>
        <v>-46</v>
      </c>
      <c r="L200" s="10" t="s">
        <v>341</v>
      </c>
      <c r="M200" s="2"/>
    </row>
    <row r="201" customFormat="false" ht="15" hidden="false" customHeight="false" outlineLevel="0" collapsed="false">
      <c r="A201" s="2" t="s">
        <v>713</v>
      </c>
      <c r="B201" s="2" t="s">
        <v>27</v>
      </c>
      <c r="C201" s="2" t="s">
        <v>30</v>
      </c>
      <c r="D201" s="2" t="s">
        <v>714</v>
      </c>
      <c r="E201" s="2" t="s">
        <v>715</v>
      </c>
      <c r="F201" s="2" t="s">
        <v>701</v>
      </c>
      <c r="G201" s="2" t="s">
        <v>303</v>
      </c>
      <c r="H201" s="11" t="n">
        <v>-6</v>
      </c>
      <c r="I201" s="11" t="n">
        <v>-6</v>
      </c>
      <c r="J201" s="13" t="n">
        <v>0.1</v>
      </c>
      <c r="K201" s="11" t="n">
        <f aca="false">ROUND(I201*J201,2)</f>
        <v>-0.6</v>
      </c>
      <c r="L201" s="10" t="s">
        <v>341</v>
      </c>
      <c r="M201" s="2"/>
    </row>
    <row r="202" customFormat="false" ht="15" hidden="false" customHeight="false" outlineLevel="0" collapsed="false">
      <c r="A202" s="2" t="s">
        <v>713</v>
      </c>
      <c r="B202" s="2" t="s">
        <v>27</v>
      </c>
      <c r="C202" s="2" t="s">
        <v>30</v>
      </c>
      <c r="D202" s="2" t="s">
        <v>714</v>
      </c>
      <c r="E202" s="2" t="s">
        <v>715</v>
      </c>
      <c r="F202" s="2" t="s">
        <v>701</v>
      </c>
      <c r="G202" s="2" t="s">
        <v>303</v>
      </c>
      <c r="H202" s="11" t="n">
        <v>-44</v>
      </c>
      <c r="I202" s="11" t="n">
        <v>-44</v>
      </c>
      <c r="J202" s="13" t="n">
        <v>0.1</v>
      </c>
      <c r="K202" s="11" t="n">
        <f aca="false">ROUND(I202*J202,2)</f>
        <v>-4.4</v>
      </c>
      <c r="L202" s="10" t="s">
        <v>341</v>
      </c>
      <c r="M202" s="2"/>
    </row>
    <row r="203" customFormat="false" ht="15" hidden="false" customHeight="false" outlineLevel="0" collapsed="false">
      <c r="A203" s="2" t="s">
        <v>716</v>
      </c>
      <c r="B203" s="2" t="s">
        <v>27</v>
      </c>
      <c r="C203" s="2" t="s">
        <v>30</v>
      </c>
      <c r="D203" s="2" t="s">
        <v>717</v>
      </c>
      <c r="E203" s="2" t="s">
        <v>718</v>
      </c>
      <c r="F203" s="2" t="s">
        <v>702</v>
      </c>
      <c r="G203" s="2" t="s">
        <v>719</v>
      </c>
      <c r="H203" s="11" t="n">
        <v>-698</v>
      </c>
      <c r="I203" s="11" t="n">
        <v>-698</v>
      </c>
      <c r="J203" s="13" t="n">
        <v>0.1</v>
      </c>
      <c r="K203" s="11" t="n">
        <f aca="false">ROUND(I203*J203,2)</f>
        <v>-69.8</v>
      </c>
      <c r="L203" s="10" t="s">
        <v>341</v>
      </c>
      <c r="M203" s="2"/>
    </row>
    <row r="204" customFormat="false" ht="15" hidden="false" customHeight="false" outlineLevel="0" collapsed="false">
      <c r="A204" s="2" t="s">
        <v>720</v>
      </c>
      <c r="B204" s="2" t="s">
        <v>27</v>
      </c>
      <c r="C204" s="2" t="s">
        <v>30</v>
      </c>
      <c r="D204" s="2" t="s">
        <v>721</v>
      </c>
      <c r="E204" s="2" t="s">
        <v>722</v>
      </c>
      <c r="F204" s="2" t="s">
        <v>694</v>
      </c>
      <c r="G204" s="2" t="s">
        <v>299</v>
      </c>
      <c r="H204" s="11" t="n">
        <v>1653</v>
      </c>
      <c r="I204" s="11" t="n">
        <v>1653</v>
      </c>
      <c r="J204" s="13" t="n">
        <v>0.1</v>
      </c>
      <c r="K204" s="11" t="n">
        <f aca="false">ROUND(I204*J204,2)</f>
        <v>165.3</v>
      </c>
      <c r="L204" s="10" t="s">
        <v>341</v>
      </c>
      <c r="M204" s="2"/>
    </row>
    <row r="205" customFormat="false" ht="15" hidden="false" customHeight="false" outlineLevel="0" collapsed="false">
      <c r="A205" s="2" t="s">
        <v>720</v>
      </c>
      <c r="B205" s="2" t="s">
        <v>27</v>
      </c>
      <c r="C205" s="2" t="s">
        <v>30</v>
      </c>
      <c r="D205" s="2" t="s">
        <v>721</v>
      </c>
      <c r="E205" s="2" t="s">
        <v>722</v>
      </c>
      <c r="F205" s="2" t="s">
        <v>701</v>
      </c>
      <c r="G205" s="2" t="s">
        <v>299</v>
      </c>
      <c r="H205" s="11" t="n">
        <v>170</v>
      </c>
      <c r="I205" s="11" t="n">
        <v>170</v>
      </c>
      <c r="J205" s="13" t="n">
        <v>0.1</v>
      </c>
      <c r="K205" s="11" t="n">
        <f aca="false">ROUND(I205*J205,2)</f>
        <v>17</v>
      </c>
      <c r="L205" s="10" t="s">
        <v>341</v>
      </c>
      <c r="M205" s="2"/>
    </row>
    <row r="206" customFormat="false" ht="15" hidden="false" customHeight="false" outlineLevel="0" collapsed="false">
      <c r="A206" s="2" t="s">
        <v>720</v>
      </c>
      <c r="B206" s="2" t="s">
        <v>27</v>
      </c>
      <c r="C206" s="2" t="s">
        <v>30</v>
      </c>
      <c r="D206" s="2" t="s">
        <v>721</v>
      </c>
      <c r="E206" s="2" t="s">
        <v>722</v>
      </c>
      <c r="F206" s="2" t="s">
        <v>701</v>
      </c>
      <c r="G206" s="2" t="s">
        <v>315</v>
      </c>
      <c r="H206" s="11" t="n">
        <v>-160</v>
      </c>
      <c r="I206" s="11" t="n">
        <v>-160</v>
      </c>
      <c r="J206" s="13" t="n">
        <v>0.1</v>
      </c>
      <c r="K206" s="11" t="n">
        <f aca="false">ROUND(I206*J206,2)</f>
        <v>-16</v>
      </c>
      <c r="L206" s="10" t="s">
        <v>341</v>
      </c>
      <c r="M206" s="2"/>
    </row>
    <row r="207" customFormat="false" ht="15" hidden="false" customHeight="false" outlineLevel="0" collapsed="false">
      <c r="A207" s="2" t="s">
        <v>723</v>
      </c>
      <c r="B207" s="2" t="s">
        <v>27</v>
      </c>
      <c r="C207" s="2" t="s">
        <v>30</v>
      </c>
      <c r="D207" s="2" t="s">
        <v>724</v>
      </c>
      <c r="E207" s="2" t="s">
        <v>725</v>
      </c>
      <c r="F207" s="2" t="s">
        <v>694</v>
      </c>
      <c r="G207" s="2" t="s">
        <v>530</v>
      </c>
      <c r="H207" s="11" t="n">
        <v>1948</v>
      </c>
      <c r="I207" s="11" t="n">
        <v>1948</v>
      </c>
      <c r="J207" s="13" t="n">
        <v>0.1</v>
      </c>
      <c r="K207" s="11" t="n">
        <f aca="false">ROUND(I207*J207,2)</f>
        <v>194.8</v>
      </c>
      <c r="L207" s="10" t="s">
        <v>341</v>
      </c>
      <c r="M207" s="2"/>
    </row>
    <row r="208" customFormat="false" ht="15" hidden="false" customHeight="false" outlineLevel="0" collapsed="false">
      <c r="A208" s="2" t="s">
        <v>726</v>
      </c>
      <c r="B208" s="2" t="s">
        <v>27</v>
      </c>
      <c r="C208" s="2" t="s">
        <v>30</v>
      </c>
      <c r="D208" s="2" t="s">
        <v>727</v>
      </c>
      <c r="E208" s="2" t="s">
        <v>728</v>
      </c>
      <c r="F208" s="2" t="s">
        <v>694</v>
      </c>
      <c r="G208" s="2" t="s">
        <v>321</v>
      </c>
      <c r="H208" s="11" t="n">
        <v>1245</v>
      </c>
      <c r="I208" s="11" t="n">
        <v>1245</v>
      </c>
      <c r="J208" s="13" t="n">
        <v>0.1</v>
      </c>
      <c r="K208" s="11" t="n">
        <f aca="false">ROUND(I208*J208,2)</f>
        <v>124.5</v>
      </c>
      <c r="L208" s="10" t="s">
        <v>341</v>
      </c>
      <c r="M208" s="2"/>
    </row>
    <row r="209" customFormat="false" ht="15" hidden="false" customHeight="false" outlineLevel="0" collapsed="false">
      <c r="A209" s="2" t="s">
        <v>729</v>
      </c>
      <c r="B209" s="2" t="s">
        <v>27</v>
      </c>
      <c r="C209" s="2" t="s">
        <v>30</v>
      </c>
      <c r="D209" s="2" t="s">
        <v>730</v>
      </c>
      <c r="E209" s="2" t="s">
        <v>731</v>
      </c>
      <c r="F209" s="2" t="s">
        <v>701</v>
      </c>
      <c r="G209" s="2" t="s">
        <v>530</v>
      </c>
      <c r="H209" s="11" t="n">
        <v>-425</v>
      </c>
      <c r="I209" s="11" t="n">
        <v>-425</v>
      </c>
      <c r="J209" s="13" t="n">
        <v>0.1</v>
      </c>
      <c r="K209" s="11" t="n">
        <f aca="false">ROUND(I209*J209,2)</f>
        <v>-42.5</v>
      </c>
      <c r="L209" s="10" t="s">
        <v>341</v>
      </c>
      <c r="M209" s="2"/>
    </row>
    <row r="210" customFormat="false" ht="15" hidden="false" customHeight="false" outlineLevel="0" collapsed="false">
      <c r="A210" s="2" t="s">
        <v>732</v>
      </c>
      <c r="B210" s="2" t="s">
        <v>27</v>
      </c>
      <c r="C210" s="2" t="s">
        <v>30</v>
      </c>
      <c r="D210" s="2" t="s">
        <v>733</v>
      </c>
      <c r="E210" s="2" t="s">
        <v>734</v>
      </c>
      <c r="F210" s="2" t="s">
        <v>701</v>
      </c>
      <c r="G210" s="2" t="s">
        <v>319</v>
      </c>
      <c r="H210" s="11" t="n">
        <v>1590</v>
      </c>
      <c r="I210" s="11" t="n">
        <v>1590</v>
      </c>
      <c r="J210" s="13" t="n">
        <v>0.1</v>
      </c>
      <c r="K210" s="11" t="n">
        <f aca="false">ROUND(I210*J210,2)</f>
        <v>159</v>
      </c>
      <c r="L210" s="10" t="s">
        <v>341</v>
      </c>
      <c r="M210" s="2"/>
    </row>
    <row r="211" customFormat="false" ht="15" hidden="false" customHeight="false" outlineLevel="0" collapsed="false">
      <c r="A211" s="2" t="s">
        <v>732</v>
      </c>
      <c r="B211" s="2" t="s">
        <v>27</v>
      </c>
      <c r="C211" s="2" t="s">
        <v>30</v>
      </c>
      <c r="D211" s="2" t="s">
        <v>733</v>
      </c>
      <c r="E211" s="2" t="s">
        <v>734</v>
      </c>
      <c r="F211" s="2" t="s">
        <v>701</v>
      </c>
      <c r="G211" s="2" t="s">
        <v>324</v>
      </c>
      <c r="H211" s="11" t="n">
        <v>1326</v>
      </c>
      <c r="I211" s="11" t="n">
        <v>1326</v>
      </c>
      <c r="J211" s="13" t="n">
        <v>0.1</v>
      </c>
      <c r="K211" s="11" t="n">
        <f aca="false">ROUND(I211*J211,2)</f>
        <v>132.6</v>
      </c>
      <c r="L211" s="10" t="s">
        <v>341</v>
      </c>
      <c r="M211" s="2"/>
    </row>
    <row r="212" customFormat="false" ht="15" hidden="false" customHeight="false" outlineLevel="0" collapsed="false">
      <c r="A212" s="2" t="s">
        <v>735</v>
      </c>
      <c r="B212" s="2" t="s">
        <v>27</v>
      </c>
      <c r="C212" s="2" t="s">
        <v>30</v>
      </c>
      <c r="D212" s="2" t="s">
        <v>736</v>
      </c>
      <c r="E212" s="2" t="s">
        <v>737</v>
      </c>
      <c r="F212" s="2" t="s">
        <v>701</v>
      </c>
      <c r="G212" s="2" t="s">
        <v>319</v>
      </c>
      <c r="H212" s="11" t="n">
        <v>-1</v>
      </c>
      <c r="I212" s="11" t="n">
        <v>-1</v>
      </c>
      <c r="J212" s="13" t="n">
        <v>0.1</v>
      </c>
      <c r="K212" s="11" t="n">
        <f aca="false">ROUND(I212*J212,2)</f>
        <v>-0.1</v>
      </c>
      <c r="L212" s="10" t="s">
        <v>341</v>
      </c>
      <c r="M212" s="2"/>
    </row>
    <row r="213" customFormat="false" ht="15" hidden="false" customHeight="false" outlineLevel="0" collapsed="false">
      <c r="A213" s="2" t="s">
        <v>735</v>
      </c>
      <c r="B213" s="2" t="s">
        <v>27</v>
      </c>
      <c r="C213" s="2" t="s">
        <v>30</v>
      </c>
      <c r="D213" s="2" t="s">
        <v>736</v>
      </c>
      <c r="E213" s="2" t="s">
        <v>737</v>
      </c>
      <c r="F213" s="2" t="s">
        <v>701</v>
      </c>
      <c r="G213" s="2" t="s">
        <v>435</v>
      </c>
      <c r="H213" s="11" t="n">
        <v>272</v>
      </c>
      <c r="I213" s="11" t="n">
        <v>272</v>
      </c>
      <c r="J213" s="13" t="n">
        <v>0.1</v>
      </c>
      <c r="K213" s="11" t="n">
        <f aca="false">ROUND(I213*J213,2)</f>
        <v>27.2</v>
      </c>
      <c r="L213" s="10" t="s">
        <v>341</v>
      </c>
      <c r="M213" s="2"/>
    </row>
    <row r="214" customFormat="false" ht="15" hidden="false" customHeight="false" outlineLevel="0" collapsed="false">
      <c r="A214" s="2" t="s">
        <v>738</v>
      </c>
      <c r="B214" s="2" t="s">
        <v>27</v>
      </c>
      <c r="C214" s="2" t="s">
        <v>30</v>
      </c>
      <c r="D214" s="2" t="s">
        <v>739</v>
      </c>
      <c r="E214" s="2" t="s">
        <v>740</v>
      </c>
      <c r="F214" s="2" t="s">
        <v>702</v>
      </c>
      <c r="G214" s="2" t="s">
        <v>467</v>
      </c>
      <c r="H214" s="11" t="n">
        <v>-2545</v>
      </c>
      <c r="I214" s="11" t="n">
        <v>-2545</v>
      </c>
      <c r="J214" s="13" t="n">
        <v>0.1</v>
      </c>
      <c r="K214" s="11" t="n">
        <f aca="false">ROUND(I214*J214,2)</f>
        <v>-254.5</v>
      </c>
      <c r="L214" s="10" t="s">
        <v>341</v>
      </c>
      <c r="M214" s="2"/>
    </row>
    <row r="215" customFormat="false" ht="15" hidden="false" customHeight="false" outlineLevel="0" collapsed="false">
      <c r="A215" s="2" t="s">
        <v>741</v>
      </c>
      <c r="B215" s="2" t="s">
        <v>27</v>
      </c>
      <c r="C215" s="2" t="s">
        <v>30</v>
      </c>
      <c r="D215" s="2" t="s">
        <v>742</v>
      </c>
      <c r="E215" s="2" t="s">
        <v>743</v>
      </c>
      <c r="F215" s="2" t="s">
        <v>701</v>
      </c>
      <c r="G215" s="2" t="s">
        <v>299</v>
      </c>
      <c r="H215" s="11" t="n">
        <v>141</v>
      </c>
      <c r="I215" s="11" t="n">
        <v>141</v>
      </c>
      <c r="J215" s="13" t="n">
        <v>0.1</v>
      </c>
      <c r="K215" s="11" t="n">
        <f aca="false">ROUND(I215*J215,2)</f>
        <v>14.1</v>
      </c>
      <c r="L215" s="10" t="s">
        <v>341</v>
      </c>
      <c r="M215" s="2"/>
    </row>
    <row r="216" customFormat="false" ht="15" hidden="false" customHeight="false" outlineLevel="0" collapsed="false">
      <c r="A216" s="2" t="s">
        <v>744</v>
      </c>
      <c r="B216" s="2" t="s">
        <v>27</v>
      </c>
      <c r="C216" s="2" t="s">
        <v>30</v>
      </c>
      <c r="D216" s="2" t="s">
        <v>745</v>
      </c>
      <c r="E216" s="2" t="s">
        <v>746</v>
      </c>
      <c r="F216" s="2" t="s">
        <v>701</v>
      </c>
      <c r="G216" s="2" t="s">
        <v>407</v>
      </c>
      <c r="H216" s="11" t="n">
        <v>84</v>
      </c>
      <c r="I216" s="11" t="n">
        <v>84</v>
      </c>
      <c r="J216" s="13" t="n">
        <v>0.1</v>
      </c>
      <c r="K216" s="11" t="n">
        <f aca="false">ROUND(I216*J216,2)</f>
        <v>8.4</v>
      </c>
      <c r="L216" s="10" t="s">
        <v>341</v>
      </c>
      <c r="M216" s="2"/>
    </row>
    <row r="217" customFormat="false" ht="15" hidden="false" customHeight="false" outlineLevel="0" collapsed="false">
      <c r="A217" s="26" t="s">
        <v>248</v>
      </c>
      <c r="B217" s="26" t="s">
        <v>240</v>
      </c>
      <c r="C217" s="26" t="s">
        <v>243</v>
      </c>
      <c r="D217" s="26" t="s">
        <v>246</v>
      </c>
      <c r="E217" s="26" t="s">
        <v>747</v>
      </c>
      <c r="F217" s="26" t="s">
        <v>748</v>
      </c>
      <c r="G217" s="26" t="s">
        <v>386</v>
      </c>
      <c r="H217" s="27" t="n">
        <v>248</v>
      </c>
      <c r="I217" s="27" t="n">
        <v>164.67</v>
      </c>
      <c r="J217" s="28" t="n">
        <v>0.1</v>
      </c>
      <c r="K217" s="27" t="n">
        <f aca="false">ROUND(I217*J217,2)</f>
        <v>16.47</v>
      </c>
      <c r="L217" s="29" t="s">
        <v>292</v>
      </c>
      <c r="M217" s="26" t="s">
        <v>245</v>
      </c>
    </row>
    <row r="218" customFormat="false" ht="15" hidden="false" customHeight="false" outlineLevel="0" collapsed="false">
      <c r="A218" s="26" t="s">
        <v>251</v>
      </c>
      <c r="B218" s="26" t="s">
        <v>240</v>
      </c>
      <c r="C218" s="26" t="s">
        <v>243</v>
      </c>
      <c r="D218" s="26" t="s">
        <v>250</v>
      </c>
      <c r="E218" s="26" t="s">
        <v>749</v>
      </c>
      <c r="F218" s="26" t="s">
        <v>748</v>
      </c>
      <c r="G218" s="26" t="s">
        <v>321</v>
      </c>
      <c r="H218" s="27" t="n">
        <v>0</v>
      </c>
      <c r="I218" s="27" t="n">
        <v>77.5</v>
      </c>
      <c r="J218" s="28" t="n">
        <v>0.1</v>
      </c>
      <c r="K218" s="27" t="n">
        <f aca="false">ROUND(I218*J218,2)</f>
        <v>7.75</v>
      </c>
      <c r="L218" s="29" t="s">
        <v>292</v>
      </c>
      <c r="M218" s="26" t="s">
        <v>249</v>
      </c>
    </row>
    <row r="219" customFormat="false" ht="15" hidden="false" customHeight="false" outlineLevel="0" collapsed="false">
      <c r="A219" s="26" t="s">
        <v>244</v>
      </c>
      <c r="B219" s="26" t="s">
        <v>240</v>
      </c>
      <c r="C219" s="26" t="s">
        <v>243</v>
      </c>
      <c r="D219" s="26" t="s">
        <v>241</v>
      </c>
      <c r="E219" s="26" t="s">
        <v>750</v>
      </c>
      <c r="F219" s="26" t="s">
        <v>748</v>
      </c>
      <c r="G219" s="26" t="s">
        <v>554</v>
      </c>
      <c r="H219" s="27" t="n">
        <v>0</v>
      </c>
      <c r="I219" s="27" t="n">
        <v>178.5</v>
      </c>
      <c r="J219" s="28" t="n">
        <v>0.1</v>
      </c>
      <c r="K219" s="27" t="n">
        <f aca="false">ROUND(I219*J219,2)</f>
        <v>17.85</v>
      </c>
      <c r="L219" s="29" t="s">
        <v>292</v>
      </c>
      <c r="M219" s="26" t="s">
        <v>239</v>
      </c>
    </row>
    <row r="220" customFormat="false" ht="15" hidden="false" customHeight="false" outlineLevel="0" collapsed="false">
      <c r="A220" s="2" t="s">
        <v>751</v>
      </c>
      <c r="B220" s="2" t="s">
        <v>240</v>
      </c>
      <c r="C220" s="2" t="s">
        <v>243</v>
      </c>
      <c r="D220" s="2" t="s">
        <v>752</v>
      </c>
      <c r="E220" s="2" t="s">
        <v>753</v>
      </c>
      <c r="F220" s="2" t="s">
        <v>748</v>
      </c>
      <c r="G220" s="2" t="s">
        <v>754</v>
      </c>
      <c r="H220" s="11" t="n">
        <v>0</v>
      </c>
      <c r="I220" s="11" t="n">
        <v>105.83</v>
      </c>
      <c r="J220" s="13" t="n">
        <v>0.1</v>
      </c>
      <c r="K220" s="11" t="n">
        <f aca="false">ROUND(I220*J220,2)</f>
        <v>10.58</v>
      </c>
      <c r="L220" s="10" t="s">
        <v>341</v>
      </c>
      <c r="M220" s="2"/>
    </row>
    <row r="221" customFormat="false" ht="15" hidden="false" customHeight="false" outlineLevel="0" collapsed="false">
      <c r="A221" s="2" t="s">
        <v>755</v>
      </c>
      <c r="B221" s="2" t="s">
        <v>240</v>
      </c>
      <c r="C221" s="2" t="s">
        <v>243</v>
      </c>
      <c r="D221" s="2" t="s">
        <v>756</v>
      </c>
      <c r="E221" s="2" t="s">
        <v>757</v>
      </c>
      <c r="F221" s="2" t="s">
        <v>748</v>
      </c>
      <c r="G221" s="2" t="s">
        <v>758</v>
      </c>
      <c r="H221" s="11" t="n">
        <v>-87</v>
      </c>
      <c r="I221" s="11" t="n">
        <v>0.65</v>
      </c>
      <c r="J221" s="13" t="n">
        <v>0.1</v>
      </c>
      <c r="K221" s="11" t="n">
        <f aca="false">ROUND(I221*J221,2)</f>
        <v>0.07</v>
      </c>
      <c r="L221" s="10" t="s">
        <v>341</v>
      </c>
      <c r="M221" s="2"/>
    </row>
    <row r="222" customFormat="false" ht="15" hidden="false" customHeight="false" outlineLevel="0" collapsed="false">
      <c r="A222" s="2" t="s">
        <v>759</v>
      </c>
      <c r="B222" s="2" t="s">
        <v>240</v>
      </c>
      <c r="C222" s="2" t="s">
        <v>243</v>
      </c>
      <c r="D222" s="2" t="s">
        <v>760</v>
      </c>
      <c r="E222" s="2" t="s">
        <v>761</v>
      </c>
      <c r="F222" s="2" t="s">
        <v>748</v>
      </c>
      <c r="G222" s="2" t="s">
        <v>762</v>
      </c>
      <c r="H222" s="11" t="n">
        <v>0</v>
      </c>
      <c r="I222" s="11" t="n">
        <v>100</v>
      </c>
      <c r="J222" s="13" t="n">
        <v>0.1</v>
      </c>
      <c r="K222" s="11" t="n">
        <f aca="false">ROUND(I222*J222,2)</f>
        <v>10</v>
      </c>
      <c r="L222" s="10" t="s">
        <v>341</v>
      </c>
      <c r="M222" s="2"/>
    </row>
    <row r="223" customFormat="false" ht="15" hidden="false" customHeight="false" outlineLevel="0" collapsed="false">
      <c r="A223" s="2" t="s">
        <v>759</v>
      </c>
      <c r="B223" s="2" t="s">
        <v>240</v>
      </c>
      <c r="C223" s="2" t="s">
        <v>243</v>
      </c>
      <c r="D223" s="2" t="s">
        <v>760</v>
      </c>
      <c r="E223" s="2" t="s">
        <v>761</v>
      </c>
      <c r="F223" s="2" t="s">
        <v>748</v>
      </c>
      <c r="G223" s="2" t="s">
        <v>763</v>
      </c>
      <c r="H223" s="11" t="n">
        <v>613</v>
      </c>
      <c r="I223" s="11" t="n">
        <v>-35</v>
      </c>
      <c r="J223" s="13" t="n">
        <v>0.1</v>
      </c>
      <c r="K223" s="11" t="n">
        <f aca="false">ROUND(I223*J223,2)</f>
        <v>-3.5</v>
      </c>
      <c r="L223" s="10" t="s">
        <v>341</v>
      </c>
      <c r="M223" s="2"/>
    </row>
    <row r="224" customFormat="false" ht="15" hidden="false" customHeight="false" outlineLevel="0" collapsed="false">
      <c r="A224" s="2" t="s">
        <v>764</v>
      </c>
      <c r="B224" s="2" t="s">
        <v>240</v>
      </c>
      <c r="C224" s="2" t="s">
        <v>243</v>
      </c>
      <c r="D224" s="2" t="s">
        <v>765</v>
      </c>
      <c r="E224" s="2" t="s">
        <v>766</v>
      </c>
      <c r="F224" s="2" t="s">
        <v>748</v>
      </c>
      <c r="G224" s="2" t="s">
        <v>762</v>
      </c>
      <c r="H224" s="11" t="n">
        <v>0</v>
      </c>
      <c r="I224" s="11" t="n">
        <v>156.16</v>
      </c>
      <c r="J224" s="13" t="n">
        <v>0.1</v>
      </c>
      <c r="K224" s="11" t="n">
        <f aca="false">ROUND(I224*J224,2)</f>
        <v>15.62</v>
      </c>
      <c r="L224" s="10" t="s">
        <v>341</v>
      </c>
      <c r="M224" s="2"/>
    </row>
    <row r="225" customFormat="false" ht="15" hidden="false" customHeight="false" outlineLevel="0" collapsed="false">
      <c r="A225" s="2" t="s">
        <v>764</v>
      </c>
      <c r="B225" s="2" t="s">
        <v>240</v>
      </c>
      <c r="C225" s="2" t="s">
        <v>243</v>
      </c>
      <c r="D225" s="2" t="s">
        <v>765</v>
      </c>
      <c r="E225" s="2" t="s">
        <v>766</v>
      </c>
      <c r="F225" s="2" t="s">
        <v>748</v>
      </c>
      <c r="G225" s="2" t="s">
        <v>763</v>
      </c>
      <c r="H225" s="11" t="n">
        <v>840</v>
      </c>
      <c r="I225" s="11" t="n">
        <v>-25</v>
      </c>
      <c r="J225" s="13" t="n">
        <v>0.1</v>
      </c>
      <c r="K225" s="11" t="n">
        <f aca="false">ROUND(I225*J225,2)</f>
        <v>-2.5</v>
      </c>
      <c r="L225" s="10" t="s">
        <v>341</v>
      </c>
      <c r="M225" s="2"/>
    </row>
    <row r="226" customFormat="false" ht="15" hidden="false" customHeight="false" outlineLevel="0" collapsed="false">
      <c r="A226" s="2" t="s">
        <v>767</v>
      </c>
      <c r="B226" s="2" t="s">
        <v>768</v>
      </c>
      <c r="C226" s="2" t="s">
        <v>769</v>
      </c>
      <c r="D226" s="2" t="s">
        <v>770</v>
      </c>
      <c r="E226" s="2" t="s">
        <v>771</v>
      </c>
      <c r="F226" s="2" t="s">
        <v>772</v>
      </c>
      <c r="G226" s="2" t="s">
        <v>773</v>
      </c>
      <c r="H226" s="11" t="n">
        <v>-2072</v>
      </c>
      <c r="I226" s="11" t="n">
        <v>-2072</v>
      </c>
      <c r="J226" s="13" t="n">
        <v>0.12</v>
      </c>
      <c r="K226" s="11" t="n">
        <f aca="false">ROUND(I226*J226,2)</f>
        <v>-248.64</v>
      </c>
      <c r="L226" s="10" t="s">
        <v>341</v>
      </c>
      <c r="M226" s="2"/>
    </row>
    <row r="227" customFormat="false" ht="15" hidden="false" customHeight="false" outlineLevel="0" collapsed="false">
      <c r="A227" s="2" t="s">
        <v>767</v>
      </c>
      <c r="B227" s="2" t="s">
        <v>768</v>
      </c>
      <c r="C227" s="2" t="s">
        <v>769</v>
      </c>
      <c r="D227" s="2" t="s">
        <v>770</v>
      </c>
      <c r="E227" s="2" t="s">
        <v>771</v>
      </c>
      <c r="F227" s="2" t="s">
        <v>772</v>
      </c>
      <c r="G227" s="2" t="s">
        <v>774</v>
      </c>
      <c r="H227" s="11" t="n">
        <v>2072</v>
      </c>
      <c r="I227" s="11" t="n">
        <v>2072</v>
      </c>
      <c r="J227" s="13" t="n">
        <v>0.12</v>
      </c>
      <c r="K227" s="11" t="n">
        <f aca="false">ROUND(I227*J227,2)</f>
        <v>248.64</v>
      </c>
      <c r="L227" s="10" t="s">
        <v>341</v>
      </c>
      <c r="M227" s="2"/>
    </row>
    <row r="228" customFormat="false" ht="15" hidden="false" customHeight="false" outlineLevel="0" collapsed="false">
      <c r="A228" s="2" t="s">
        <v>767</v>
      </c>
      <c r="B228" s="2" t="s">
        <v>768</v>
      </c>
      <c r="C228" s="2" t="s">
        <v>769</v>
      </c>
      <c r="D228" s="2" t="s">
        <v>770</v>
      </c>
      <c r="E228" s="2" t="s">
        <v>771</v>
      </c>
      <c r="F228" s="2" t="s">
        <v>772</v>
      </c>
      <c r="G228" s="2" t="s">
        <v>773</v>
      </c>
      <c r="H228" s="11" t="n">
        <v>2072</v>
      </c>
      <c r="I228" s="11" t="n">
        <v>2072</v>
      </c>
      <c r="J228" s="13" t="n">
        <v>0.12</v>
      </c>
      <c r="K228" s="11" t="n">
        <f aca="false">ROUND(I228*J228,2)</f>
        <v>248.64</v>
      </c>
      <c r="L228" s="10" t="s">
        <v>341</v>
      </c>
      <c r="M228" s="2"/>
    </row>
    <row r="229" customFormat="false" ht="15" hidden="false" customHeight="false" outlineLevel="0" collapsed="false">
      <c r="A229" s="2" t="s">
        <v>767</v>
      </c>
      <c r="B229" s="2" t="s">
        <v>768</v>
      </c>
      <c r="C229" s="2" t="s">
        <v>769</v>
      </c>
      <c r="D229" s="2" t="s">
        <v>770</v>
      </c>
      <c r="E229" s="2" t="s">
        <v>771</v>
      </c>
      <c r="F229" s="2" t="s">
        <v>772</v>
      </c>
      <c r="G229" s="2" t="s">
        <v>775</v>
      </c>
      <c r="H229" s="11" t="n">
        <v>-2072</v>
      </c>
      <c r="I229" s="11" t="n">
        <v>-2072</v>
      </c>
      <c r="J229" s="13" t="n">
        <v>0.12</v>
      </c>
      <c r="K229" s="11" t="n">
        <f aca="false">ROUND(I229*J229,2)</f>
        <v>-248.64</v>
      </c>
      <c r="L229" s="10" t="s">
        <v>341</v>
      </c>
      <c r="M229" s="2"/>
    </row>
    <row r="230" customFormat="false" ht="15" hidden="false" customHeight="false" outlineLevel="0" collapsed="false">
      <c r="A230" s="2" t="s">
        <v>767</v>
      </c>
      <c r="B230" s="2" t="s">
        <v>768</v>
      </c>
      <c r="C230" s="2" t="s">
        <v>769</v>
      </c>
      <c r="D230" s="2" t="s">
        <v>770</v>
      </c>
      <c r="E230" s="2" t="s">
        <v>771</v>
      </c>
      <c r="F230" s="2" t="s">
        <v>772</v>
      </c>
      <c r="G230" s="2" t="s">
        <v>775</v>
      </c>
      <c r="H230" s="11" t="n">
        <v>2072</v>
      </c>
      <c r="I230" s="11" t="n">
        <v>2072</v>
      </c>
      <c r="J230" s="13" t="n">
        <v>0.12</v>
      </c>
      <c r="K230" s="11" t="n">
        <f aca="false">ROUND(I230*J230,2)</f>
        <v>248.64</v>
      </c>
      <c r="L230" s="10" t="s">
        <v>341</v>
      </c>
      <c r="M230" s="2"/>
    </row>
    <row r="231" customFormat="false" ht="15" hidden="false" customHeight="false" outlineLevel="0" collapsed="false">
      <c r="A231" s="2" t="s">
        <v>767</v>
      </c>
      <c r="B231" s="2" t="s">
        <v>768</v>
      </c>
      <c r="C231" s="2" t="s">
        <v>769</v>
      </c>
      <c r="D231" s="2" t="s">
        <v>770</v>
      </c>
      <c r="E231" s="2" t="s">
        <v>771</v>
      </c>
      <c r="F231" s="2" t="s">
        <v>772</v>
      </c>
      <c r="G231" s="2" t="s">
        <v>503</v>
      </c>
      <c r="H231" s="11" t="n">
        <v>2072</v>
      </c>
      <c r="I231" s="11" t="n">
        <v>2072</v>
      </c>
      <c r="J231" s="13" t="n">
        <v>0.12</v>
      </c>
      <c r="K231" s="11" t="n">
        <f aca="false">ROUND(I231*J231,2)</f>
        <v>248.64</v>
      </c>
      <c r="L231" s="10" t="s">
        <v>341</v>
      </c>
      <c r="M231" s="2"/>
    </row>
    <row r="232" customFormat="false" ht="15" hidden="false" customHeight="false" outlineLevel="0" collapsed="false">
      <c r="A232" s="2" t="s">
        <v>767</v>
      </c>
      <c r="B232" s="2" t="s">
        <v>768</v>
      </c>
      <c r="C232" s="2" t="s">
        <v>769</v>
      </c>
      <c r="D232" s="2" t="s">
        <v>770</v>
      </c>
      <c r="E232" s="2" t="s">
        <v>771</v>
      </c>
      <c r="F232" s="2" t="s">
        <v>772</v>
      </c>
      <c r="G232" s="2" t="s">
        <v>503</v>
      </c>
      <c r="H232" s="11" t="n">
        <v>-2072</v>
      </c>
      <c r="I232" s="11" t="n">
        <v>-2072</v>
      </c>
      <c r="J232" s="13" t="n">
        <v>0.12</v>
      </c>
      <c r="K232" s="11" t="n">
        <f aca="false">ROUND(I232*J232,2)</f>
        <v>-248.64</v>
      </c>
      <c r="L232" s="10" t="s">
        <v>341</v>
      </c>
      <c r="M232" s="2"/>
    </row>
    <row r="233" customFormat="false" ht="15" hidden="false" customHeight="false" outlineLevel="0" collapsed="false">
      <c r="A233" s="2" t="s">
        <v>767</v>
      </c>
      <c r="B233" s="2" t="s">
        <v>768</v>
      </c>
      <c r="C233" s="2" t="s">
        <v>769</v>
      </c>
      <c r="D233" s="2" t="s">
        <v>770</v>
      </c>
      <c r="E233" s="2" t="s">
        <v>771</v>
      </c>
      <c r="F233" s="2" t="s">
        <v>772</v>
      </c>
      <c r="G233" s="2" t="s">
        <v>773</v>
      </c>
      <c r="H233" s="11" t="n">
        <v>49</v>
      </c>
      <c r="I233" s="11" t="n">
        <v>49</v>
      </c>
      <c r="J233" s="13" t="n">
        <v>0.12</v>
      </c>
      <c r="K233" s="11" t="n">
        <f aca="false">ROUND(I233*J233,2)</f>
        <v>5.88</v>
      </c>
      <c r="L233" s="10" t="s">
        <v>341</v>
      </c>
      <c r="M233" s="2"/>
    </row>
    <row r="234" customFormat="false" ht="15" hidden="false" customHeight="false" outlineLevel="0" collapsed="false">
      <c r="A234" s="2" t="s">
        <v>776</v>
      </c>
      <c r="B234" s="2" t="s">
        <v>768</v>
      </c>
      <c r="C234" s="2" t="s">
        <v>769</v>
      </c>
      <c r="D234" s="2" t="s">
        <v>777</v>
      </c>
      <c r="E234" s="2" t="s">
        <v>778</v>
      </c>
      <c r="F234" s="2" t="s">
        <v>772</v>
      </c>
      <c r="G234" s="2" t="s">
        <v>779</v>
      </c>
      <c r="H234" s="11" t="n">
        <v>1075</v>
      </c>
      <c r="I234" s="11" t="n">
        <v>1075</v>
      </c>
      <c r="J234" s="13" t="n">
        <v>0.12</v>
      </c>
      <c r="K234" s="11" t="n">
        <f aca="false">ROUND(I234*J234,2)</f>
        <v>129</v>
      </c>
      <c r="L234" s="10" t="s">
        <v>341</v>
      </c>
      <c r="M234" s="2"/>
    </row>
    <row r="235" customFormat="false" ht="15" hidden="false" customHeight="false" outlineLevel="0" collapsed="false">
      <c r="A235" s="2" t="s">
        <v>780</v>
      </c>
      <c r="B235" s="2" t="s">
        <v>768</v>
      </c>
      <c r="C235" s="2" t="s">
        <v>769</v>
      </c>
      <c r="D235" s="2" t="s">
        <v>781</v>
      </c>
      <c r="E235" s="2" t="s">
        <v>782</v>
      </c>
      <c r="F235" s="2" t="s">
        <v>772</v>
      </c>
      <c r="G235" s="2" t="s">
        <v>783</v>
      </c>
      <c r="H235" s="11" t="n">
        <v>-1149</v>
      </c>
      <c r="I235" s="11" t="n">
        <v>-1149</v>
      </c>
      <c r="J235" s="13" t="n">
        <v>0.12</v>
      </c>
      <c r="K235" s="11" t="n">
        <f aca="false">ROUND(I235*J235,2)</f>
        <v>-137.88</v>
      </c>
      <c r="L235" s="10" t="s">
        <v>341</v>
      </c>
      <c r="M235" s="2"/>
    </row>
    <row r="236" customFormat="false" ht="15" hidden="false" customHeight="false" outlineLevel="0" collapsed="false">
      <c r="A236" s="2" t="s">
        <v>780</v>
      </c>
      <c r="B236" s="2" t="s">
        <v>768</v>
      </c>
      <c r="C236" s="2" t="s">
        <v>769</v>
      </c>
      <c r="D236" s="2" t="s">
        <v>781</v>
      </c>
      <c r="E236" s="2" t="s">
        <v>782</v>
      </c>
      <c r="F236" s="2" t="s">
        <v>772</v>
      </c>
      <c r="G236" s="2" t="s">
        <v>784</v>
      </c>
      <c r="H236" s="11" t="n">
        <v>1149</v>
      </c>
      <c r="I236" s="11" t="n">
        <v>1149</v>
      </c>
      <c r="J236" s="13" t="n">
        <v>0.12</v>
      </c>
      <c r="K236" s="11" t="n">
        <f aca="false">ROUND(I236*J236,2)</f>
        <v>137.88</v>
      </c>
      <c r="L236" s="10" t="s">
        <v>341</v>
      </c>
      <c r="M236" s="2"/>
    </row>
    <row r="237" customFormat="false" ht="15" hidden="false" customHeight="false" outlineLevel="0" collapsed="false">
      <c r="A237" s="2" t="s">
        <v>780</v>
      </c>
      <c r="B237" s="2" t="s">
        <v>768</v>
      </c>
      <c r="C237" s="2" t="s">
        <v>769</v>
      </c>
      <c r="D237" s="2" t="s">
        <v>781</v>
      </c>
      <c r="E237" s="2" t="s">
        <v>782</v>
      </c>
      <c r="F237" s="2" t="s">
        <v>772</v>
      </c>
      <c r="G237" s="2" t="s">
        <v>783</v>
      </c>
      <c r="H237" s="11" t="n">
        <v>1149</v>
      </c>
      <c r="I237" s="11" t="n">
        <v>1149</v>
      </c>
      <c r="J237" s="13" t="n">
        <v>0.12</v>
      </c>
      <c r="K237" s="11" t="n">
        <f aca="false">ROUND(I237*J237,2)</f>
        <v>137.88</v>
      </c>
      <c r="L237" s="10" t="s">
        <v>341</v>
      </c>
      <c r="M237" s="2"/>
    </row>
    <row r="238" customFormat="false" ht="15" hidden="false" customHeight="false" outlineLevel="0" collapsed="false">
      <c r="A238" s="2" t="s">
        <v>780</v>
      </c>
      <c r="B238" s="2" t="s">
        <v>768</v>
      </c>
      <c r="C238" s="2" t="s">
        <v>769</v>
      </c>
      <c r="D238" s="2" t="s">
        <v>781</v>
      </c>
      <c r="E238" s="2" t="s">
        <v>782</v>
      </c>
      <c r="F238" s="2" t="s">
        <v>772</v>
      </c>
      <c r="G238" s="2" t="s">
        <v>532</v>
      </c>
      <c r="H238" s="11" t="n">
        <v>-1149</v>
      </c>
      <c r="I238" s="11" t="n">
        <v>-1149</v>
      </c>
      <c r="J238" s="13" t="n">
        <v>0.12</v>
      </c>
      <c r="K238" s="11" t="n">
        <f aca="false">ROUND(I238*J238,2)</f>
        <v>-137.88</v>
      </c>
      <c r="L238" s="10" t="s">
        <v>341</v>
      </c>
      <c r="M238" s="2"/>
    </row>
    <row r="239" customFormat="false" ht="15" hidden="false" customHeight="false" outlineLevel="0" collapsed="false">
      <c r="A239" s="2" t="s">
        <v>780</v>
      </c>
      <c r="B239" s="2" t="s">
        <v>768</v>
      </c>
      <c r="C239" s="2" t="s">
        <v>769</v>
      </c>
      <c r="D239" s="2" t="s">
        <v>781</v>
      </c>
      <c r="E239" s="2" t="s">
        <v>782</v>
      </c>
      <c r="F239" s="2" t="s">
        <v>772</v>
      </c>
      <c r="G239" s="2" t="s">
        <v>532</v>
      </c>
      <c r="H239" s="11" t="n">
        <v>1149</v>
      </c>
      <c r="I239" s="11" t="n">
        <v>1149</v>
      </c>
      <c r="J239" s="13" t="n">
        <v>0.12</v>
      </c>
      <c r="K239" s="11" t="n">
        <f aca="false">ROUND(I239*J239,2)</f>
        <v>137.88</v>
      </c>
      <c r="L239" s="10" t="s">
        <v>341</v>
      </c>
      <c r="M239" s="2"/>
    </row>
    <row r="240" customFormat="false" ht="15" hidden="false" customHeight="false" outlineLevel="0" collapsed="false">
      <c r="A240" s="2" t="s">
        <v>785</v>
      </c>
      <c r="B240" s="2" t="s">
        <v>768</v>
      </c>
      <c r="C240" s="2" t="s">
        <v>769</v>
      </c>
      <c r="D240" s="2" t="s">
        <v>786</v>
      </c>
      <c r="E240" s="2" t="s">
        <v>787</v>
      </c>
      <c r="F240" s="2" t="s">
        <v>772</v>
      </c>
      <c r="G240" s="2" t="s">
        <v>788</v>
      </c>
      <c r="H240" s="11" t="n">
        <v>-191.79</v>
      </c>
      <c r="I240" s="11" t="n">
        <v>-191.79</v>
      </c>
      <c r="J240" s="13" t="n">
        <v>0.12</v>
      </c>
      <c r="K240" s="11" t="n">
        <f aca="false">ROUND(I240*J240,2)</f>
        <v>-23.01</v>
      </c>
      <c r="L240" s="10" t="s">
        <v>341</v>
      </c>
      <c r="M240" s="2"/>
    </row>
    <row r="241" customFormat="false" ht="15" hidden="false" customHeight="false" outlineLevel="0" collapsed="false">
      <c r="A241" s="2" t="s">
        <v>789</v>
      </c>
      <c r="B241" s="2" t="s">
        <v>768</v>
      </c>
      <c r="C241" s="2" t="s">
        <v>769</v>
      </c>
      <c r="D241" s="2" t="s">
        <v>790</v>
      </c>
      <c r="E241" s="2" t="s">
        <v>791</v>
      </c>
      <c r="F241" s="2" t="s">
        <v>772</v>
      </c>
      <c r="G241" s="2" t="s">
        <v>307</v>
      </c>
      <c r="H241" s="11" t="n">
        <v>6.2</v>
      </c>
      <c r="I241" s="11" t="n">
        <v>6.2</v>
      </c>
      <c r="J241" s="13" t="n">
        <v>0.12</v>
      </c>
      <c r="K241" s="11" t="n">
        <f aca="false">ROUND(I241*J241,2)</f>
        <v>0.74</v>
      </c>
      <c r="L241" s="10" t="s">
        <v>341</v>
      </c>
      <c r="M241" s="2"/>
    </row>
    <row r="242" customFormat="false" ht="15" hidden="false" customHeight="false" outlineLevel="0" collapsed="false">
      <c r="A242" s="2" t="s">
        <v>789</v>
      </c>
      <c r="B242" s="2" t="s">
        <v>768</v>
      </c>
      <c r="C242" s="2" t="s">
        <v>769</v>
      </c>
      <c r="D242" s="2" t="s">
        <v>790</v>
      </c>
      <c r="E242" s="2" t="s">
        <v>791</v>
      </c>
      <c r="F242" s="2" t="s">
        <v>772</v>
      </c>
      <c r="G242" s="2" t="s">
        <v>303</v>
      </c>
      <c r="H242" s="11" t="n">
        <v>-74.76</v>
      </c>
      <c r="I242" s="11" t="n">
        <v>-74.76</v>
      </c>
      <c r="J242" s="13" t="n">
        <v>0.12</v>
      </c>
      <c r="K242" s="11" t="n">
        <f aca="false">ROUND(I242*J242,2)</f>
        <v>-8.97</v>
      </c>
      <c r="L242" s="10" t="s">
        <v>341</v>
      </c>
      <c r="M242" s="2"/>
    </row>
    <row r="243" customFormat="false" ht="15" hidden="false" customHeight="false" outlineLevel="0" collapsed="false">
      <c r="A243" s="2" t="s">
        <v>792</v>
      </c>
      <c r="B243" s="2" t="s">
        <v>768</v>
      </c>
      <c r="C243" s="2" t="s">
        <v>769</v>
      </c>
      <c r="D243" s="2" t="s">
        <v>793</v>
      </c>
      <c r="E243" s="2" t="s">
        <v>794</v>
      </c>
      <c r="F243" s="2" t="s">
        <v>772</v>
      </c>
      <c r="G243" s="2" t="s">
        <v>424</v>
      </c>
      <c r="H243" s="11" t="n">
        <v>-402.75</v>
      </c>
      <c r="I243" s="11" t="n">
        <v>-402.75</v>
      </c>
      <c r="J243" s="13" t="n">
        <v>0.12</v>
      </c>
      <c r="K243" s="11" t="n">
        <f aca="false">ROUND(I243*J243,2)</f>
        <v>-48.33</v>
      </c>
      <c r="L243" s="10" t="s">
        <v>341</v>
      </c>
      <c r="M243" s="2"/>
    </row>
    <row r="244" customFormat="false" ht="15" hidden="false" customHeight="false" outlineLevel="0" collapsed="false">
      <c r="A244" s="2" t="s">
        <v>792</v>
      </c>
      <c r="B244" s="2" t="s">
        <v>768</v>
      </c>
      <c r="C244" s="2" t="s">
        <v>769</v>
      </c>
      <c r="D244" s="2" t="s">
        <v>793</v>
      </c>
      <c r="E244" s="2" t="s">
        <v>794</v>
      </c>
      <c r="F244" s="2" t="s">
        <v>772</v>
      </c>
      <c r="G244" s="2" t="s">
        <v>424</v>
      </c>
      <c r="H244" s="11" t="n">
        <v>21.21</v>
      </c>
      <c r="I244" s="11" t="n">
        <v>21.21</v>
      </c>
      <c r="J244" s="13" t="n">
        <v>0.12</v>
      </c>
      <c r="K244" s="11" t="n">
        <f aca="false">ROUND(I244*J244,2)</f>
        <v>2.55</v>
      </c>
      <c r="L244" s="10" t="s">
        <v>341</v>
      </c>
      <c r="M244" s="2"/>
    </row>
    <row r="245" customFormat="false" ht="15" hidden="false" customHeight="false" outlineLevel="0" collapsed="false">
      <c r="A245" s="2" t="s">
        <v>795</v>
      </c>
      <c r="B245" s="2" t="s">
        <v>768</v>
      </c>
      <c r="C245" s="2" t="s">
        <v>769</v>
      </c>
      <c r="D245" s="2" t="s">
        <v>796</v>
      </c>
      <c r="E245" s="2" t="s">
        <v>797</v>
      </c>
      <c r="F245" s="2" t="s">
        <v>772</v>
      </c>
      <c r="G245" s="2" t="s">
        <v>293</v>
      </c>
      <c r="H245" s="11" t="n">
        <v>583.2</v>
      </c>
      <c r="I245" s="11" t="n">
        <v>583.2</v>
      </c>
      <c r="J245" s="13" t="n">
        <v>0.12</v>
      </c>
      <c r="K245" s="11" t="n">
        <f aca="false">ROUND(I245*J245,2)</f>
        <v>69.98</v>
      </c>
      <c r="L245" s="10" t="s">
        <v>341</v>
      </c>
      <c r="M245" s="2"/>
    </row>
    <row r="246" customFormat="false" ht="15" hidden="false" customHeight="false" outlineLevel="0" collapsed="false">
      <c r="A246" s="2" t="s">
        <v>795</v>
      </c>
      <c r="B246" s="2" t="s">
        <v>768</v>
      </c>
      <c r="C246" s="2" t="s">
        <v>769</v>
      </c>
      <c r="D246" s="2" t="s">
        <v>796</v>
      </c>
      <c r="E246" s="2" t="s">
        <v>797</v>
      </c>
      <c r="F246" s="2" t="s">
        <v>772</v>
      </c>
      <c r="G246" s="2" t="s">
        <v>299</v>
      </c>
      <c r="H246" s="11" t="n">
        <v>-1050.59</v>
      </c>
      <c r="I246" s="11" t="n">
        <v>-1050.59</v>
      </c>
      <c r="J246" s="13" t="n">
        <v>0.12</v>
      </c>
      <c r="K246" s="11" t="n">
        <f aca="false">ROUND(I246*J246,2)</f>
        <v>-126.07</v>
      </c>
      <c r="L246" s="10" t="s">
        <v>341</v>
      </c>
      <c r="M246" s="2"/>
    </row>
    <row r="247" customFormat="false" ht="15" hidden="false" customHeight="false" outlineLevel="0" collapsed="false">
      <c r="A247" s="2" t="s">
        <v>798</v>
      </c>
      <c r="B247" s="2" t="s">
        <v>768</v>
      </c>
      <c r="C247" s="2" t="s">
        <v>769</v>
      </c>
      <c r="D247" s="2" t="s">
        <v>799</v>
      </c>
      <c r="E247" s="2" t="s">
        <v>800</v>
      </c>
      <c r="F247" s="2" t="s">
        <v>772</v>
      </c>
      <c r="G247" s="2" t="s">
        <v>309</v>
      </c>
      <c r="H247" s="11" t="n">
        <v>-21.53</v>
      </c>
      <c r="I247" s="11" t="n">
        <v>-21.53</v>
      </c>
      <c r="J247" s="13" t="n">
        <v>0.12</v>
      </c>
      <c r="K247" s="11" t="n">
        <f aca="false">ROUND(I247*J247,2)</f>
        <v>-2.58</v>
      </c>
      <c r="L247" s="10" t="s">
        <v>341</v>
      </c>
      <c r="M247" s="2"/>
    </row>
    <row r="248" customFormat="false" ht="15" hidden="false" customHeight="false" outlineLevel="0" collapsed="false">
      <c r="A248" s="2" t="s">
        <v>801</v>
      </c>
      <c r="B248" s="2" t="s">
        <v>768</v>
      </c>
      <c r="C248" s="2" t="s">
        <v>769</v>
      </c>
      <c r="D248" s="2" t="s">
        <v>802</v>
      </c>
      <c r="E248" s="2" t="s">
        <v>803</v>
      </c>
      <c r="F248" s="2" t="s">
        <v>772</v>
      </c>
      <c r="G248" s="2" t="s">
        <v>804</v>
      </c>
      <c r="H248" s="11" t="n">
        <v>-59</v>
      </c>
      <c r="I248" s="11" t="n">
        <v>-59</v>
      </c>
      <c r="J248" s="13" t="n">
        <v>0.12</v>
      </c>
      <c r="K248" s="11" t="n">
        <f aca="false">ROUND(I248*J248,2)</f>
        <v>-7.08</v>
      </c>
      <c r="L248" s="10" t="s">
        <v>341</v>
      </c>
      <c r="M248" s="2"/>
    </row>
    <row r="249" customFormat="false" ht="15" hidden="false" customHeight="false" outlineLevel="0" collapsed="false">
      <c r="A249" s="2" t="s">
        <v>801</v>
      </c>
      <c r="B249" s="2" t="s">
        <v>768</v>
      </c>
      <c r="C249" s="2" t="s">
        <v>769</v>
      </c>
      <c r="D249" s="2" t="s">
        <v>802</v>
      </c>
      <c r="E249" s="2" t="s">
        <v>803</v>
      </c>
      <c r="F249" s="2" t="s">
        <v>772</v>
      </c>
      <c r="G249" s="2" t="s">
        <v>804</v>
      </c>
      <c r="H249" s="11" t="n">
        <v>1447</v>
      </c>
      <c r="I249" s="11" t="n">
        <v>1447</v>
      </c>
      <c r="J249" s="13" t="n">
        <v>0.12</v>
      </c>
      <c r="K249" s="11" t="n">
        <f aca="false">ROUND(I249*J249,2)</f>
        <v>173.64</v>
      </c>
      <c r="L249" s="10" t="s">
        <v>341</v>
      </c>
      <c r="M249" s="2"/>
    </row>
    <row r="250" customFormat="false" ht="15" hidden="false" customHeight="false" outlineLevel="0" collapsed="false">
      <c r="A250" s="2" t="s">
        <v>801</v>
      </c>
      <c r="B250" s="2" t="s">
        <v>768</v>
      </c>
      <c r="C250" s="2" t="s">
        <v>769</v>
      </c>
      <c r="D250" s="2" t="s">
        <v>802</v>
      </c>
      <c r="E250" s="2" t="s">
        <v>803</v>
      </c>
      <c r="F250" s="2" t="s">
        <v>772</v>
      </c>
      <c r="G250" s="2" t="s">
        <v>804</v>
      </c>
      <c r="H250" s="11" t="n">
        <v>-1447</v>
      </c>
      <c r="I250" s="11" t="n">
        <v>-1447</v>
      </c>
      <c r="J250" s="13" t="n">
        <v>0.12</v>
      </c>
      <c r="K250" s="11" t="n">
        <f aca="false">ROUND(I250*J250,2)</f>
        <v>-173.64</v>
      </c>
      <c r="L250" s="10" t="s">
        <v>341</v>
      </c>
      <c r="M250" s="2"/>
    </row>
    <row r="251" customFormat="false" ht="15" hidden="false" customHeight="false" outlineLevel="0" collapsed="false">
      <c r="A251" s="2" t="s">
        <v>801</v>
      </c>
      <c r="B251" s="2" t="s">
        <v>768</v>
      </c>
      <c r="C251" s="2" t="s">
        <v>769</v>
      </c>
      <c r="D251" s="2" t="s">
        <v>802</v>
      </c>
      <c r="E251" s="2" t="s">
        <v>803</v>
      </c>
      <c r="F251" s="2" t="s">
        <v>772</v>
      </c>
      <c r="G251" s="2" t="s">
        <v>471</v>
      </c>
      <c r="H251" s="11" t="n">
        <v>1447</v>
      </c>
      <c r="I251" s="11" t="n">
        <v>1447</v>
      </c>
      <c r="J251" s="13" t="n">
        <v>0.12</v>
      </c>
      <c r="K251" s="11" t="n">
        <f aca="false">ROUND(I251*J251,2)</f>
        <v>173.64</v>
      </c>
      <c r="L251" s="10" t="s">
        <v>341</v>
      </c>
      <c r="M251" s="2"/>
    </row>
    <row r="252" customFormat="false" ht="15" hidden="false" customHeight="false" outlineLevel="0" collapsed="false">
      <c r="A252" s="2" t="s">
        <v>801</v>
      </c>
      <c r="B252" s="2" t="s">
        <v>768</v>
      </c>
      <c r="C252" s="2" t="s">
        <v>769</v>
      </c>
      <c r="D252" s="2" t="s">
        <v>802</v>
      </c>
      <c r="E252" s="2" t="s">
        <v>803</v>
      </c>
      <c r="F252" s="2" t="s">
        <v>772</v>
      </c>
      <c r="G252" s="2" t="s">
        <v>326</v>
      </c>
      <c r="H252" s="11" t="n">
        <v>-1312.21</v>
      </c>
      <c r="I252" s="11" t="n">
        <v>-1312.21</v>
      </c>
      <c r="J252" s="13" t="n">
        <v>0.12</v>
      </c>
      <c r="K252" s="11" t="n">
        <f aca="false">ROUND(I252*J252,2)</f>
        <v>-157.47</v>
      </c>
      <c r="L252" s="10" t="s">
        <v>341</v>
      </c>
      <c r="M252" s="2"/>
    </row>
    <row r="253" customFormat="false" ht="15" hidden="false" customHeight="false" outlineLevel="0" collapsed="false">
      <c r="A253" s="2" t="s">
        <v>805</v>
      </c>
      <c r="B253" s="2" t="s">
        <v>768</v>
      </c>
      <c r="C253" s="2" t="s">
        <v>769</v>
      </c>
      <c r="D253" s="2" t="s">
        <v>806</v>
      </c>
      <c r="E253" s="2" t="s">
        <v>807</v>
      </c>
      <c r="F253" s="2" t="s">
        <v>772</v>
      </c>
      <c r="G253" s="2" t="s">
        <v>779</v>
      </c>
      <c r="H253" s="11" t="n">
        <v>4204</v>
      </c>
      <c r="I253" s="11" t="n">
        <v>4204</v>
      </c>
      <c r="J253" s="13" t="n">
        <v>0.12</v>
      </c>
      <c r="K253" s="11" t="n">
        <f aca="false">ROUND(I253*J253,2)</f>
        <v>504.48</v>
      </c>
      <c r="L253" s="10" t="s">
        <v>341</v>
      </c>
      <c r="M253" s="2"/>
    </row>
    <row r="254" customFormat="false" ht="15" hidden="false" customHeight="false" outlineLevel="0" collapsed="false">
      <c r="A254" s="2" t="s">
        <v>808</v>
      </c>
      <c r="B254" s="2" t="s">
        <v>768</v>
      </c>
      <c r="C254" s="2" t="s">
        <v>769</v>
      </c>
      <c r="D254" s="2" t="s">
        <v>809</v>
      </c>
      <c r="E254" s="2" t="s">
        <v>810</v>
      </c>
      <c r="F254" s="2" t="s">
        <v>772</v>
      </c>
      <c r="G254" s="2" t="s">
        <v>811</v>
      </c>
      <c r="H254" s="11" t="n">
        <v>1262</v>
      </c>
      <c r="I254" s="11" t="n">
        <v>1262</v>
      </c>
      <c r="J254" s="13" t="n">
        <v>0.12</v>
      </c>
      <c r="K254" s="11" t="n">
        <f aca="false">ROUND(I254*J254,2)</f>
        <v>151.44</v>
      </c>
      <c r="L254" s="10" t="s">
        <v>341</v>
      </c>
      <c r="M254" s="2"/>
    </row>
    <row r="255" customFormat="false" ht="15" hidden="false" customHeight="false" outlineLevel="0" collapsed="false">
      <c r="A255" s="2" t="s">
        <v>812</v>
      </c>
      <c r="B255" s="2" t="s">
        <v>768</v>
      </c>
      <c r="C255" s="2" t="s">
        <v>769</v>
      </c>
      <c r="D255" s="2" t="s">
        <v>813</v>
      </c>
      <c r="E255" s="2" t="s">
        <v>814</v>
      </c>
      <c r="F255" s="2" t="s">
        <v>815</v>
      </c>
      <c r="G255" s="2" t="s">
        <v>307</v>
      </c>
      <c r="H255" s="11" t="n">
        <v>-1550.86</v>
      </c>
      <c r="I255" s="11" t="n">
        <v>-1550.86</v>
      </c>
      <c r="J255" s="13" t="n">
        <v>0.15</v>
      </c>
      <c r="K255" s="11" t="n">
        <f aca="false">ROUND(I255*J255,2)</f>
        <v>-232.63</v>
      </c>
      <c r="L255" s="10" t="s">
        <v>341</v>
      </c>
      <c r="M255" s="2"/>
    </row>
    <row r="256" customFormat="false" ht="15" hidden="false" customHeight="false" outlineLevel="0" collapsed="false">
      <c r="A256" s="2" t="s">
        <v>816</v>
      </c>
      <c r="B256" s="2" t="s">
        <v>768</v>
      </c>
      <c r="C256" s="2" t="s">
        <v>769</v>
      </c>
      <c r="D256" s="2" t="s">
        <v>817</v>
      </c>
      <c r="E256" s="2" t="s">
        <v>818</v>
      </c>
      <c r="F256" s="2" t="s">
        <v>815</v>
      </c>
      <c r="G256" s="2" t="s">
        <v>319</v>
      </c>
      <c r="H256" s="11" t="n">
        <v>1132</v>
      </c>
      <c r="I256" s="11" t="n">
        <v>1132</v>
      </c>
      <c r="J256" s="13" t="n">
        <v>0.15</v>
      </c>
      <c r="K256" s="11" t="n">
        <f aca="false">ROUND(I256*J256,2)</f>
        <v>169.8</v>
      </c>
      <c r="L256" s="10" t="s">
        <v>341</v>
      </c>
      <c r="M256" s="2"/>
    </row>
    <row r="257" customFormat="false" ht="15" hidden="false" customHeight="false" outlineLevel="0" collapsed="false">
      <c r="A257" s="2" t="s">
        <v>819</v>
      </c>
      <c r="B257" s="2" t="s">
        <v>768</v>
      </c>
      <c r="C257" s="2" t="s">
        <v>769</v>
      </c>
      <c r="D257" s="2" t="s">
        <v>820</v>
      </c>
      <c r="E257" s="2" t="s">
        <v>821</v>
      </c>
      <c r="F257" s="2" t="s">
        <v>815</v>
      </c>
      <c r="G257" s="2" t="s">
        <v>324</v>
      </c>
      <c r="H257" s="11" t="n">
        <v>2518</v>
      </c>
      <c r="I257" s="11" t="n">
        <v>2518</v>
      </c>
      <c r="J257" s="13" t="n">
        <v>0.15</v>
      </c>
      <c r="K257" s="11" t="n">
        <f aca="false">ROUND(I257*J257,2)</f>
        <v>377.7</v>
      </c>
      <c r="L257" s="10" t="s">
        <v>341</v>
      </c>
      <c r="M257" s="2"/>
    </row>
    <row r="258" customFormat="false" ht="15" hidden="false" customHeight="false" outlineLevel="0" collapsed="false">
      <c r="A258" s="2" t="s">
        <v>822</v>
      </c>
      <c r="B258" s="2" t="s">
        <v>768</v>
      </c>
      <c r="C258" s="2" t="s">
        <v>769</v>
      </c>
      <c r="D258" s="2" t="s">
        <v>823</v>
      </c>
      <c r="E258" s="2" t="s">
        <v>824</v>
      </c>
      <c r="F258" s="2" t="s">
        <v>815</v>
      </c>
      <c r="G258" s="2" t="s">
        <v>321</v>
      </c>
      <c r="H258" s="11" t="n">
        <v>35</v>
      </c>
      <c r="I258" s="11" t="n">
        <v>35</v>
      </c>
      <c r="J258" s="13" t="n">
        <v>0.15</v>
      </c>
      <c r="K258" s="11" t="n">
        <f aca="false">ROUND(I258*J258,2)</f>
        <v>5.25</v>
      </c>
      <c r="L258" s="10" t="s">
        <v>341</v>
      </c>
      <c r="M258" s="2"/>
    </row>
    <row r="259" customFormat="false" ht="15" hidden="false" customHeight="false" outlineLevel="0" collapsed="false">
      <c r="A259" s="2" t="s">
        <v>822</v>
      </c>
      <c r="B259" s="2" t="s">
        <v>768</v>
      </c>
      <c r="C259" s="2" t="s">
        <v>769</v>
      </c>
      <c r="D259" s="2" t="s">
        <v>823</v>
      </c>
      <c r="E259" s="2" t="s">
        <v>824</v>
      </c>
      <c r="F259" s="2" t="s">
        <v>815</v>
      </c>
      <c r="G259" s="2" t="s">
        <v>435</v>
      </c>
      <c r="H259" s="11" t="n">
        <v>2274</v>
      </c>
      <c r="I259" s="11" t="n">
        <v>2274</v>
      </c>
      <c r="J259" s="13" t="n">
        <v>0.15</v>
      </c>
      <c r="K259" s="11" t="n">
        <f aca="false">ROUND(I259*J259,2)</f>
        <v>341.1</v>
      </c>
      <c r="L259" s="10" t="s">
        <v>341</v>
      </c>
      <c r="M259" s="2"/>
    </row>
    <row r="260" customFormat="false" ht="15" hidden="false" customHeight="false" outlineLevel="0" collapsed="false">
      <c r="A260" s="2" t="s">
        <v>825</v>
      </c>
      <c r="B260" s="2" t="s">
        <v>768</v>
      </c>
      <c r="C260" s="2" t="s">
        <v>769</v>
      </c>
      <c r="D260" s="2" t="s">
        <v>826</v>
      </c>
      <c r="E260" s="2" t="s">
        <v>827</v>
      </c>
      <c r="F260" s="2" t="s">
        <v>815</v>
      </c>
      <c r="G260" s="2" t="s">
        <v>303</v>
      </c>
      <c r="H260" s="11" t="n">
        <v>1293</v>
      </c>
      <c r="I260" s="11" t="n">
        <v>1293</v>
      </c>
      <c r="J260" s="13" t="n">
        <v>0.15</v>
      </c>
      <c r="K260" s="11" t="n">
        <f aca="false">ROUND(I260*J260,2)</f>
        <v>193.95</v>
      </c>
      <c r="L260" s="10" t="s">
        <v>341</v>
      </c>
      <c r="M260" s="2"/>
    </row>
    <row r="261" customFormat="false" ht="15" hidden="false" customHeight="false" outlineLevel="0" collapsed="false">
      <c r="A261" s="2" t="s">
        <v>828</v>
      </c>
      <c r="B261" s="2" t="s">
        <v>768</v>
      </c>
      <c r="C261" s="2" t="s">
        <v>769</v>
      </c>
      <c r="D261" s="2" t="s">
        <v>829</v>
      </c>
      <c r="E261" s="2" t="s">
        <v>830</v>
      </c>
      <c r="F261" s="2" t="s">
        <v>815</v>
      </c>
      <c r="G261" s="2" t="s">
        <v>386</v>
      </c>
      <c r="H261" s="11" t="n">
        <v>1997</v>
      </c>
      <c r="I261" s="11" t="n">
        <v>1997</v>
      </c>
      <c r="J261" s="13" t="n">
        <v>0.15</v>
      </c>
      <c r="K261" s="11" t="n">
        <f aca="false">ROUND(I261*J261,2)</f>
        <v>299.55</v>
      </c>
      <c r="L261" s="10" t="s">
        <v>341</v>
      </c>
      <c r="M261" s="2"/>
    </row>
    <row r="262" customFormat="false" ht="15" hidden="false" customHeight="false" outlineLevel="0" collapsed="false">
      <c r="A262" s="2" t="s">
        <v>831</v>
      </c>
      <c r="B262" s="2" t="s">
        <v>768</v>
      </c>
      <c r="C262" s="2" t="s">
        <v>769</v>
      </c>
      <c r="D262" s="2" t="s">
        <v>832</v>
      </c>
      <c r="E262" s="2" t="s">
        <v>833</v>
      </c>
      <c r="F262" s="2" t="s">
        <v>815</v>
      </c>
      <c r="G262" s="2" t="s">
        <v>386</v>
      </c>
      <c r="H262" s="11" t="n">
        <v>841</v>
      </c>
      <c r="I262" s="11" t="n">
        <v>841</v>
      </c>
      <c r="J262" s="13" t="n">
        <v>0.15</v>
      </c>
      <c r="K262" s="11" t="n">
        <f aca="false">ROUND(I262*J262,2)</f>
        <v>126.15</v>
      </c>
      <c r="L262" s="10" t="s">
        <v>341</v>
      </c>
      <c r="M262" s="2"/>
    </row>
    <row r="263" customFormat="false" ht="15" hidden="false" customHeight="false" outlineLevel="0" collapsed="false">
      <c r="A263" s="2" t="s">
        <v>834</v>
      </c>
      <c r="B263" s="2" t="s">
        <v>768</v>
      </c>
      <c r="C263" s="2" t="s">
        <v>769</v>
      </c>
      <c r="D263" s="2" t="s">
        <v>835</v>
      </c>
      <c r="E263" s="2" t="s">
        <v>836</v>
      </c>
      <c r="F263" s="2" t="s">
        <v>815</v>
      </c>
      <c r="G263" s="2" t="s">
        <v>293</v>
      </c>
      <c r="H263" s="11" t="n">
        <v>-638</v>
      </c>
      <c r="I263" s="11" t="n">
        <v>-638</v>
      </c>
      <c r="J263" s="13" t="n">
        <v>0.1</v>
      </c>
      <c r="K263" s="11" t="n">
        <f aca="false">ROUND(I263*J263,2)</f>
        <v>-63.8</v>
      </c>
      <c r="L263" s="10" t="s">
        <v>341</v>
      </c>
      <c r="M263" s="2"/>
    </row>
    <row r="264" customFormat="false" ht="15" hidden="false" customHeight="false" outlineLevel="0" collapsed="false">
      <c r="A264" s="2"/>
      <c r="B264" s="2"/>
      <c r="C264" s="2"/>
      <c r="D264" s="2"/>
      <c r="E264" s="2"/>
      <c r="F264" s="2"/>
      <c r="G264" s="2"/>
      <c r="H264" s="11"/>
      <c r="I264" s="11"/>
      <c r="J264" s="13"/>
      <c r="K264" s="11"/>
      <c r="L264" s="10"/>
      <c r="M264" s="2"/>
    </row>
    <row r="265" customFormat="false" ht="15" hidden="false" customHeight="false" outlineLevel="0" collapsed="false">
      <c r="A265" s="30" t="s">
        <v>837</v>
      </c>
      <c r="B265" s="30"/>
      <c r="C265" s="30"/>
      <c r="D265" s="30"/>
      <c r="E265" s="30"/>
      <c r="F265" s="30"/>
      <c r="G265" s="30"/>
      <c r="H265" s="31" t="n">
        <f aca="false">SUM(H2:H263)</f>
        <v>164686.47</v>
      </c>
      <c r="I265" s="31" t="n">
        <f aca="false">SUM(I2:I263)</f>
        <v>163795.78</v>
      </c>
      <c r="J265" s="32"/>
      <c r="K265" s="31" t="n">
        <f aca="false">SUM(K2:K263)</f>
        <v>17285.75</v>
      </c>
      <c r="L265" s="33"/>
      <c r="M265" s="30"/>
    </row>
    <row r="266" customFormat="false" ht="15" hidden="false" customHeight="false" outlineLevel="0" collapsed="false">
      <c r="A266" s="30" t="s">
        <v>838</v>
      </c>
      <c r="B266" s="30"/>
      <c r="C266" s="30"/>
      <c r="D266" s="30"/>
      <c r="E266" s="30"/>
      <c r="F266" s="30"/>
      <c r="G266" s="30"/>
      <c r="H266" s="31" t="n">
        <f aca="false">SUMIF($L$2:$L$263,"YES",H2:H263)</f>
        <v>48407.06</v>
      </c>
      <c r="I266" s="31" t="n">
        <f aca="false">SUMIF($L$2:$L$263,"YES",I2:I263)</f>
        <v>48579.73</v>
      </c>
      <c r="J266" s="32"/>
      <c r="K266" s="31" t="n">
        <f aca="false">SUMIF($L$2:$L$263,"YES",K2:K263)</f>
        <v>4973.41</v>
      </c>
      <c r="L266" s="33"/>
      <c r="M266" s="30"/>
    </row>
  </sheetData>
  <autoFilter ref="A1:M2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28"/>
    <col collapsed="false" customWidth="true" hidden="false" outlineLevel="0" max="4" min="4" style="0" width="12"/>
    <col collapsed="false" customWidth="true" hidden="false" outlineLevel="0" max="5" min="5" style="0" width="14"/>
    <col collapsed="false" customWidth="true" hidden="false" outlineLevel="0" max="7" min="6" style="0" width="20"/>
    <col collapsed="false" customWidth="true" hidden="false" outlineLevel="0" max="8" min="8" style="0" width="24"/>
    <col collapsed="false" customWidth="true" hidden="false" outlineLevel="0" max="9" min="9" style="0" width="14"/>
  </cols>
  <sheetData>
    <row r="1" customFormat="false" ht="16.15" hidden="false" customHeight="false" outlineLevel="0" collapsed="false">
      <c r="A1" s="34" t="s">
        <v>839</v>
      </c>
      <c r="B1" s="2"/>
      <c r="C1" s="2"/>
      <c r="D1" s="2"/>
      <c r="E1" s="2"/>
      <c r="F1" s="2"/>
      <c r="G1" s="2"/>
      <c r="H1" s="2"/>
      <c r="I1" s="2"/>
    </row>
    <row r="2" customFormat="false" ht="15" hidden="false" customHeight="false" outlineLevel="0" collapsed="false">
      <c r="A2" s="2"/>
      <c r="B2" s="2"/>
      <c r="C2" s="2"/>
      <c r="D2" s="2"/>
      <c r="E2" s="2"/>
      <c r="F2" s="2"/>
      <c r="G2" s="2"/>
      <c r="H2" s="2"/>
      <c r="I2" s="2"/>
    </row>
    <row r="3" customFormat="false" ht="42" hidden="false" customHeight="true" outlineLevel="0" collapsed="false">
      <c r="A3" s="4" t="s">
        <v>8</v>
      </c>
      <c r="B3" s="4" t="s">
        <v>840</v>
      </c>
      <c r="C3" s="4" t="s">
        <v>841</v>
      </c>
      <c r="D3" s="4" t="s">
        <v>842</v>
      </c>
      <c r="E3" s="4" t="s">
        <v>843</v>
      </c>
      <c r="F3" s="4" t="s">
        <v>844</v>
      </c>
      <c r="G3" s="4" t="s">
        <v>845</v>
      </c>
      <c r="H3" s="4" t="s">
        <v>846</v>
      </c>
      <c r="I3" s="4" t="s">
        <v>847</v>
      </c>
    </row>
    <row r="4" customFormat="false" ht="15" hidden="false" customHeight="false" outlineLevel="0" collapsed="false">
      <c r="A4" s="2" t="s">
        <v>44</v>
      </c>
      <c r="B4" s="2" t="s">
        <v>848</v>
      </c>
      <c r="C4" s="2" t="s">
        <v>849</v>
      </c>
      <c r="D4" s="10" t="n">
        <v>36</v>
      </c>
      <c r="E4" s="10" t="n">
        <f aca="false">SUMPRODUCT(('Commission Summary'!$F$6:$F$75=$A4)*('Commission Summary'!$L$6:$L$75&gt;0))</f>
        <v>30</v>
      </c>
      <c r="F4" s="11" t="n">
        <f aca="false">SUMIF('Commission Summary'!$F$6:$F$75,$A4,'Commission Summary'!$N$6:$N$75)</f>
        <v>42357.06</v>
      </c>
      <c r="G4" s="11" t="n">
        <f aca="false">SUMIF('Commission Summary'!$F$6:$F$75,$A4,'Commission Summary'!$O$6:$O$75)</f>
        <v>4351.14</v>
      </c>
      <c r="H4" s="11" t="n">
        <f aca="false">SUMIF('Transaction Detail'!$B$2:$B$263,$A4,'Transaction Detail'!$K$2:$K$263)</f>
        <v>14289.02</v>
      </c>
      <c r="I4" s="13" t="n">
        <f aca="false">IF(H4=0,"",G4/H4)</f>
        <v>0.304509336539525</v>
      </c>
    </row>
    <row r="5" customFormat="false" ht="15" hidden="false" customHeight="false" outlineLevel="0" collapsed="false">
      <c r="A5" s="2" t="s">
        <v>27</v>
      </c>
      <c r="B5" s="2" t="s">
        <v>850</v>
      </c>
      <c r="C5" s="2" t="s">
        <v>851</v>
      </c>
      <c r="D5" s="10" t="n">
        <v>9</v>
      </c>
      <c r="E5" s="10" t="n">
        <f aca="false">SUMPRODUCT(('Commission Summary'!$F$6:$F$75=$A5)*('Commission Summary'!$L$6:$L$75&gt;0))</f>
        <v>5</v>
      </c>
      <c r="F5" s="11" t="n">
        <f aca="false">SUMIF('Commission Summary'!$F$6:$F$75,$A5,'Commission Summary'!$N$6:$N$75)</f>
        <v>5802</v>
      </c>
      <c r="G5" s="11" t="n">
        <f aca="false">SUMIF('Commission Summary'!$F$6:$F$75,$A5,'Commission Summary'!$O$6:$O$75)</f>
        <v>580.2</v>
      </c>
      <c r="H5" s="11" t="n">
        <f aca="false">SUMIF('Transaction Detail'!$B$2:$B$263,$A5,'Transaction Detail'!$K$2:$K$263)</f>
        <v>656.6</v>
      </c>
      <c r="I5" s="13" t="n">
        <f aca="false">IF(H5=0,"",G5/H5)</f>
        <v>0.883643009442583</v>
      </c>
    </row>
    <row r="6" customFormat="false" ht="15" hidden="false" customHeight="false" outlineLevel="0" collapsed="false">
      <c r="A6" s="2" t="s">
        <v>37</v>
      </c>
      <c r="B6" s="2" t="s">
        <v>852</v>
      </c>
      <c r="C6" s="2" t="s">
        <v>853</v>
      </c>
      <c r="D6" s="10" t="n">
        <v>10</v>
      </c>
      <c r="E6" s="10" t="n">
        <f aca="false">SUMPRODUCT(('Commission Summary'!$F$6:$F$75=$A6)*('Commission Summary'!$L$6:$L$75&gt;0))</f>
        <v>0</v>
      </c>
      <c r="F6" s="11" t="n">
        <f aca="false">SUMIF('Commission Summary'!$F$6:$F$75,$A6,'Commission Summary'!$N$6:$N$75)</f>
        <v>0</v>
      </c>
      <c r="G6" s="11" t="n">
        <f aca="false">SUMIF('Commission Summary'!$F$6:$F$75,$A6,'Commission Summary'!$O$6:$O$75)</f>
        <v>0</v>
      </c>
      <c r="H6" s="11" t="n">
        <f aca="false">SUMIF('Transaction Detail'!$B$2:$B$263,$A6,'Transaction Detail'!$K$2:$K$263)</f>
        <v>0</v>
      </c>
      <c r="I6" s="13" t="str">
        <f aca="false">IF(H6=0,"",G6/H6)</f>
        <v/>
      </c>
    </row>
    <row r="7" customFormat="false" ht="15" hidden="false" customHeight="false" outlineLevel="0" collapsed="false">
      <c r="A7" s="2" t="s">
        <v>204</v>
      </c>
      <c r="B7" s="2" t="s">
        <v>852</v>
      </c>
      <c r="C7" s="2" t="s">
        <v>853</v>
      </c>
      <c r="D7" s="10" t="n">
        <v>2</v>
      </c>
      <c r="E7" s="10" t="n">
        <f aca="false">SUMPRODUCT(('Commission Summary'!$F$6:$F$75=$A7)*('Commission Summary'!$L$6:$L$75&gt;0))</f>
        <v>0</v>
      </c>
      <c r="F7" s="11" t="n">
        <f aca="false">SUMIF('Commission Summary'!$F$6:$F$75,$A7,'Commission Summary'!$N$6:$N$75)</f>
        <v>0</v>
      </c>
      <c r="G7" s="11" t="n">
        <f aca="false">SUMIF('Commission Summary'!$F$6:$F$75,$A7,'Commission Summary'!$O$6:$O$75)</f>
        <v>0</v>
      </c>
      <c r="H7" s="11" t="n">
        <f aca="false">SUMIF('Transaction Detail'!$B$2:$B$263,$A7,'Transaction Detail'!$K$2:$K$263)</f>
        <v>0</v>
      </c>
      <c r="I7" s="13" t="str">
        <f aca="false">IF(H7=0,"",G7/H7)</f>
        <v/>
      </c>
    </row>
    <row r="8" customFormat="false" ht="15" hidden="false" customHeight="false" outlineLevel="0" collapsed="false">
      <c r="A8" s="2" t="s">
        <v>228</v>
      </c>
      <c r="B8" s="2" t="s">
        <v>852</v>
      </c>
      <c r="C8" s="2" t="s">
        <v>853</v>
      </c>
      <c r="D8" s="10" t="n">
        <v>3</v>
      </c>
      <c r="E8" s="10" t="n">
        <f aca="false">SUMPRODUCT(('Commission Summary'!$F$6:$F$75=$A8)*('Commission Summary'!$L$6:$L$75&gt;0))</f>
        <v>0</v>
      </c>
      <c r="F8" s="11" t="n">
        <f aca="false">SUMIF('Commission Summary'!$F$6:$F$75,$A8,'Commission Summary'!$N$6:$N$75)</f>
        <v>0</v>
      </c>
      <c r="G8" s="11" t="n">
        <f aca="false">SUMIF('Commission Summary'!$F$6:$F$75,$A8,'Commission Summary'!$O$6:$O$75)</f>
        <v>0</v>
      </c>
      <c r="H8" s="11" t="n">
        <f aca="false">SUMIF('Transaction Detail'!$B$2:$B$263,$A8,'Transaction Detail'!$K$2:$K$263)</f>
        <v>0</v>
      </c>
      <c r="I8" s="13" t="str">
        <f aca="false">IF(H8=0,"",G8/H8)</f>
        <v/>
      </c>
    </row>
    <row r="9" customFormat="false" ht="15" hidden="false" customHeight="false" outlineLevel="0" collapsed="false">
      <c r="A9" s="2" t="s">
        <v>240</v>
      </c>
      <c r="B9" s="2" t="s">
        <v>854</v>
      </c>
      <c r="C9" s="2" t="s">
        <v>855</v>
      </c>
      <c r="D9" s="10" t="n">
        <v>3</v>
      </c>
      <c r="E9" s="10" t="n">
        <f aca="false">SUMPRODUCT(('Commission Summary'!$F$6:$F$75=$A9)*('Commission Summary'!$L$6:$L$75&gt;0))</f>
        <v>3</v>
      </c>
      <c r="F9" s="11" t="n">
        <f aca="false">SUMIF('Commission Summary'!$F$6:$F$75,$A9,'Commission Summary'!$N$6:$N$75)</f>
        <v>420.67</v>
      </c>
      <c r="G9" s="11" t="n">
        <f aca="false">SUMIF('Commission Summary'!$F$6:$F$75,$A9,'Commission Summary'!$O$6:$O$75)</f>
        <v>42.07</v>
      </c>
      <c r="H9" s="11" t="n">
        <f aca="false">SUMIF('Transaction Detail'!$B$2:$B$263,$A9,'Transaction Detail'!$K$2:$K$263)</f>
        <v>72.34</v>
      </c>
      <c r="I9" s="13" t="n">
        <f aca="false">IF(H9=0,"",G9/H9)</f>
        <v>0.581559303290019</v>
      </c>
    </row>
    <row r="10" customFormat="false" ht="15" hidden="false" customHeight="false" outlineLevel="0" collapsed="false">
      <c r="A10" s="2" t="s">
        <v>768</v>
      </c>
      <c r="B10" s="2" t="s">
        <v>856</v>
      </c>
      <c r="C10" s="2" t="s">
        <v>857</v>
      </c>
      <c r="D10" s="10" t="n">
        <v>0</v>
      </c>
      <c r="E10" s="10" t="n">
        <v>0</v>
      </c>
      <c r="F10" s="11" t="n">
        <v>0</v>
      </c>
      <c r="G10" s="11" t="n">
        <v>0</v>
      </c>
      <c r="H10" s="11" t="n">
        <f aca="false">SUMIF('Transaction Detail'!$B$2:$B$263,$A10,'Transaction Detail'!$K$2:$K$263)</f>
        <v>2267.79</v>
      </c>
      <c r="I10" s="13"/>
    </row>
    <row r="11" customFormat="false" ht="15" hidden="false" customHeight="false" outlineLevel="0" collapsed="false">
      <c r="A11" s="30" t="s">
        <v>858</v>
      </c>
      <c r="B11" s="30"/>
      <c r="C11" s="30"/>
      <c r="D11" s="33" t="n">
        <f aca="false">SUM(D4:D10)</f>
        <v>63</v>
      </c>
      <c r="E11" s="33" t="n">
        <f aca="false">SUM(E4:E10)</f>
        <v>38</v>
      </c>
      <c r="F11" s="31" t="n">
        <f aca="false">SUM(F4:F10)</f>
        <v>48579.73</v>
      </c>
      <c r="G11" s="31" t="n">
        <f aca="false">SUM(G4:G10)</f>
        <v>4973.41</v>
      </c>
      <c r="H11" s="31" t="n">
        <f aca="false">SUM(H4:H10)</f>
        <v>17285.75</v>
      </c>
      <c r="I11" s="32" t="n">
        <f aca="false">IF(H11=0,"",G11/H11)</f>
        <v>0.287717339426985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32"/>
  </cols>
  <sheetData>
    <row r="1" customFormat="false" ht="29.85" hidden="false" customHeight="false" outlineLevel="0" collapsed="false">
      <c r="A1" s="35" t="s">
        <v>859</v>
      </c>
      <c r="B1" s="36"/>
    </row>
    <row r="2" customFormat="false" ht="15" hidden="false" customHeight="false" outlineLevel="0" collapsed="false">
      <c r="A2" s="36"/>
      <c r="B2" s="36"/>
    </row>
    <row r="3" customFormat="false" ht="15" hidden="false" customHeight="false" outlineLevel="0" collapsed="false">
      <c r="A3" s="37" t="s">
        <v>860</v>
      </c>
      <c r="B3" s="36"/>
    </row>
    <row r="4" customFormat="false" ht="15" hidden="false" customHeight="false" outlineLevel="0" collapsed="false">
      <c r="A4" s="36" t="s">
        <v>861</v>
      </c>
      <c r="B4" s="36" t="s">
        <v>862</v>
      </c>
    </row>
    <row r="5" customFormat="false" ht="15" hidden="false" customHeight="false" outlineLevel="0" collapsed="false">
      <c r="A5" s="36" t="s">
        <v>44</v>
      </c>
      <c r="B5" s="36" t="s">
        <v>863</v>
      </c>
    </row>
    <row r="6" customFormat="false" ht="15" hidden="false" customHeight="false" outlineLevel="0" collapsed="false">
      <c r="A6" s="36" t="s">
        <v>27</v>
      </c>
      <c r="B6" s="36" t="s">
        <v>864</v>
      </c>
    </row>
    <row r="7" customFormat="false" ht="15" hidden="false" customHeight="false" outlineLevel="0" collapsed="false">
      <c r="A7" s="36" t="s">
        <v>240</v>
      </c>
      <c r="B7" s="36" t="s">
        <v>865</v>
      </c>
    </row>
    <row r="8" customFormat="false" ht="15" hidden="false" customHeight="false" outlineLevel="0" collapsed="false">
      <c r="A8" s="36" t="s">
        <v>768</v>
      </c>
      <c r="B8" s="36" t="s">
        <v>866</v>
      </c>
    </row>
    <row r="9" customFormat="false" ht="15" hidden="false" customHeight="false" outlineLevel="0" collapsed="false">
      <c r="A9" s="36"/>
      <c r="B9" s="36"/>
    </row>
    <row r="10" customFormat="false" ht="26.85" hidden="false" customHeight="false" outlineLevel="0" collapsed="false">
      <c r="A10" s="37" t="s">
        <v>867</v>
      </c>
      <c r="B10" s="36"/>
    </row>
    <row r="11" customFormat="false" ht="15" hidden="false" customHeight="false" outlineLevel="0" collapsed="false">
      <c r="A11" s="36" t="s">
        <v>868</v>
      </c>
      <c r="B11" s="36" t="s">
        <v>869</v>
      </c>
    </row>
    <row r="12" customFormat="false" ht="15" hidden="false" customHeight="false" outlineLevel="0" collapsed="false">
      <c r="A12" s="36" t="s">
        <v>870</v>
      </c>
      <c r="B12" s="36" t="s">
        <v>871</v>
      </c>
    </row>
    <row r="13" customFormat="false" ht="15" hidden="false" customHeight="false" outlineLevel="0" collapsed="false">
      <c r="A13" s="36" t="s">
        <v>872</v>
      </c>
      <c r="B13" s="36" t="s">
        <v>873</v>
      </c>
    </row>
    <row r="14" customFormat="false" ht="15" hidden="false" customHeight="false" outlineLevel="0" collapsed="false">
      <c r="A14" s="36" t="s">
        <v>874</v>
      </c>
      <c r="B14" s="36" t="s">
        <v>875</v>
      </c>
    </row>
    <row r="15" customFormat="false" ht="15" hidden="false" customHeight="false" outlineLevel="0" collapsed="false">
      <c r="A15" s="36" t="s">
        <v>876</v>
      </c>
      <c r="B15" s="36" t="s">
        <v>877</v>
      </c>
    </row>
    <row r="16" customFormat="false" ht="15" hidden="false" customHeight="false" outlineLevel="0" collapsed="false">
      <c r="A16" s="36" t="s">
        <v>878</v>
      </c>
      <c r="B16" s="36" t="s">
        <v>879</v>
      </c>
    </row>
    <row r="17" customFormat="false" ht="15" hidden="false" customHeight="false" outlineLevel="0" collapsed="false">
      <c r="A17" s="36"/>
      <c r="B17" s="36"/>
    </row>
    <row r="18" customFormat="false" ht="26.85" hidden="false" customHeight="false" outlineLevel="0" collapsed="false">
      <c r="A18" s="37" t="s">
        <v>880</v>
      </c>
      <c r="B18" s="36"/>
    </row>
    <row r="19" customFormat="false" ht="23.85" hidden="false" customHeight="false" outlineLevel="0" collapsed="false">
      <c r="A19" s="36" t="s">
        <v>40</v>
      </c>
      <c r="B19" s="36" t="s">
        <v>881</v>
      </c>
    </row>
    <row r="20" customFormat="false" ht="35.05" hidden="false" customHeight="false" outlineLevel="0" collapsed="false">
      <c r="A20" s="36" t="s">
        <v>882</v>
      </c>
      <c r="B20" s="36" t="s">
        <v>883</v>
      </c>
    </row>
    <row r="21" customFormat="false" ht="23.85" hidden="false" customHeight="false" outlineLevel="0" collapsed="false">
      <c r="A21" s="36" t="s">
        <v>884</v>
      </c>
      <c r="B21" s="36" t="s">
        <v>885</v>
      </c>
    </row>
    <row r="22" customFormat="false" ht="23.85" hidden="false" customHeight="false" outlineLevel="0" collapsed="false">
      <c r="A22" s="36" t="s">
        <v>768</v>
      </c>
      <c r="B22" s="36" t="s">
        <v>886</v>
      </c>
    </row>
    <row r="23" customFormat="false" ht="15" hidden="false" customHeight="false" outlineLevel="0" collapsed="false">
      <c r="A23" s="36"/>
      <c r="B23" s="36"/>
    </row>
    <row r="24" customFormat="false" ht="15" hidden="false" customHeight="false" outlineLevel="0" collapsed="false">
      <c r="A24" s="37" t="s">
        <v>887</v>
      </c>
      <c r="B24" s="36"/>
    </row>
    <row r="25" customFormat="false" ht="23.85" hidden="false" customHeight="false" outlineLevel="0" collapsed="false">
      <c r="A25" s="36" t="s">
        <v>888</v>
      </c>
      <c r="B25" s="36" t="s">
        <v>889</v>
      </c>
    </row>
    <row r="26" customFormat="false" ht="15" hidden="false" customHeight="false" outlineLevel="0" collapsed="false">
      <c r="A26" s="36" t="s">
        <v>890</v>
      </c>
      <c r="B26" s="36" t="s">
        <v>891</v>
      </c>
    </row>
    <row r="27" customFormat="false" ht="15" hidden="false" customHeight="false" outlineLevel="0" collapsed="false">
      <c r="A27" s="36" t="s">
        <v>892</v>
      </c>
      <c r="B27" s="36" t="s">
        <v>893</v>
      </c>
    </row>
    <row r="28" customFormat="false" ht="15" hidden="false" customHeight="false" outlineLevel="0" collapsed="false">
      <c r="A28" s="36"/>
      <c r="B28" s="36"/>
    </row>
    <row r="29" customFormat="false" ht="15" hidden="false" customHeight="false" outlineLevel="0" collapsed="false">
      <c r="A29" s="37" t="s">
        <v>894</v>
      </c>
      <c r="B29" s="36"/>
    </row>
    <row r="30" customFormat="false" ht="15" hidden="false" customHeight="false" outlineLevel="0" collapsed="false">
      <c r="A30" s="36" t="s">
        <v>895</v>
      </c>
      <c r="B30" s="36" t="s">
        <v>896</v>
      </c>
    </row>
    <row r="31" customFormat="false" ht="23.85" hidden="false" customHeight="false" outlineLevel="0" collapsed="false">
      <c r="A31" s="36" t="s">
        <v>897</v>
      </c>
      <c r="B31" s="36" t="s">
        <v>898</v>
      </c>
    </row>
    <row r="32" customFormat="false" ht="15" hidden="false" customHeight="false" outlineLevel="0" collapsed="false">
      <c r="A32" s="36" t="s">
        <v>899</v>
      </c>
      <c r="B32" s="36" t="s">
        <v>900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2026-08-11T14:08:34Z</dcterms:created>
  <dc:creator>openpyxl</dc:creator>
  <dc:description/>
  <dc:language>en-US</dc:language>
  <cp:lastModifiedBy/>
  <dcterms:modified xsi:type="dcterms:W3CDTF">2026-08-11T14:08:34Z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