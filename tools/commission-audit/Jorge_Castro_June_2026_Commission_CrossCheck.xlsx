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ne 2026 Cross-Check" sheetId="1" state="visible" r:id="rId1"/>
  </sheets>
  <definedNames>
    <definedName name="_xlnm._FilterDatabase" localSheetId="0" hidden="1">'June 2026 Cross-Check'!$A$25:$P$64</definedName>
    <definedName name="_xlnm.Print_Titles" localSheetId="0">'June 2026 Cross-Check'!$25:$25</definedName>
  </definedNames>
  <calcPr calcId="124519" fullCalcOnLoad="1"/>
</workbook>
</file>

<file path=xl/styles.xml><?xml version="1.0" encoding="utf-8"?>
<styleSheet xmlns="http://schemas.openxmlformats.org/spreadsheetml/2006/main">
  <numFmts count="1">
    <numFmt numFmtId="164" formatCode="$#,##0.00;($#,##0.00);-"/>
  </numFmts>
  <fonts count="9">
    <font>
      <name val="Calibri"/>
      <family val="2"/>
      <color theme="1"/>
      <sz val="11"/>
      <scheme val="minor"/>
    </font>
    <font>
      <name val="Arial"/>
      <b val="1"/>
      <color rgb="001F3864"/>
      <sz val="15"/>
    </font>
    <font>
      <name val="Arial"/>
      <color rgb="00555555"/>
      <sz val="9.5"/>
    </font>
    <font>
      <name val="Arial"/>
      <b val="1"/>
      <color rgb="001F3864"/>
      <sz val="10"/>
    </font>
    <font>
      <name val="Arial"/>
      <b val="1"/>
      <color rgb="00000000"/>
      <sz val="9"/>
    </font>
    <font>
      <name val="Arial"/>
      <color rgb="00333333"/>
      <sz val="9"/>
    </font>
    <font>
      <name val="Arial"/>
      <color rgb="00000000"/>
      <sz val="9"/>
    </font>
    <font>
      <name val="Arial"/>
      <b val="1"/>
      <color rgb="00FFFFFF"/>
      <sz val="9"/>
    </font>
    <font>
      <name val="Arial"/>
      <color rgb="00555555"/>
      <sz val="9"/>
    </font>
  </fonts>
  <fills count="9">
    <fill>
      <patternFill/>
    </fill>
    <fill>
      <patternFill patternType="gray125"/>
    </fill>
    <fill>
      <patternFill patternType="solid">
        <fgColor rgb="00C6E0B4"/>
      </patternFill>
    </fill>
    <fill>
      <patternFill patternType="solid">
        <fgColor rgb="00FFE699"/>
      </patternFill>
    </fill>
    <fill>
      <patternFill patternType="solid">
        <fgColor rgb="00FFF2CC"/>
      </patternFill>
    </fill>
    <fill>
      <patternFill patternType="solid">
        <fgColor rgb="00F2F2F2"/>
      </patternFill>
    </fill>
    <fill>
      <patternFill patternType="solid">
        <fgColor rgb="001F3864"/>
      </patternFill>
    </fill>
    <fill>
      <patternFill patternType="solid">
        <fgColor rgb="00FFFFFF"/>
      </patternFill>
    </fill>
    <fill>
      <patternFill patternType="solid">
        <fgColor rgb="00FAFA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7" fillId="6" borderId="1" applyAlignment="1" pivotButton="0" quotePrefix="0" xfId="0">
      <alignment horizontal="center" vertical="center" wrapText="1"/>
    </xf>
    <xf numFmtId="0" fontId="6" fillId="0" borderId="1" applyAlignment="1" pivotButton="0" quotePrefix="0" xfId="0">
      <alignment horizontal="center" vertical="center"/>
    </xf>
    <xf numFmtId="0" fontId="6" fillId="7" borderId="1" applyAlignment="1" pivotButton="0" quotePrefix="0" xfId="0">
      <alignment horizontal="center" vertical="center"/>
    </xf>
    <xf numFmtId="0" fontId="6" fillId="0" borderId="1" applyAlignment="1" pivotButton="0" quotePrefix="0" xfId="0">
      <alignment horizontal="left" vertical="center" wrapText="1"/>
    </xf>
    <xf numFmtId="0" fontId="4" fillId="0" borderId="1" applyAlignment="1" pivotButton="0" quotePrefix="0" xfId="0">
      <alignment horizontal="lef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0" fontId="6" fillId="8" borderId="1" applyAlignment="1" pivotButton="0" quotePrefix="0" xfId="0">
      <alignment horizontal="center" vertical="center"/>
    </xf>
    <xf numFmtId="0" fontId="6" fillId="8" borderId="1" applyAlignment="1" pivotButton="0" quotePrefix="0" xfId="0">
      <alignment horizontal="left" vertical="center" wrapText="1"/>
    </xf>
    <xf numFmtId="0" fontId="4" fillId="8" borderId="1" applyAlignment="1" pivotButton="0" quotePrefix="0" xfId="0">
      <alignment horizontal="left" vertical="center"/>
    </xf>
    <xf numFmtId="0" fontId="6" fillId="8" borderId="1" applyAlignment="1" pivotButton="0" quotePrefix="0" xfId="0">
      <alignment horizontal="left" vertical="center"/>
    </xf>
    <xf numFmtId="164" fontId="6" fillId="8" borderId="1" applyAlignment="1" pivotButton="0" quotePrefix="0" xfId="0">
      <alignment horizontal="right" vertical="center"/>
    </xf>
    <xf numFmtId="0" fontId="8"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66"/>
  <sheetViews>
    <sheetView workbookViewId="0">
      <pane ySplit="25" topLeftCell="A26" activePane="bottomLeft" state="frozen"/>
      <selection pane="bottomLeft" activeCell="A1" sqref="A1"/>
    </sheetView>
  </sheetViews>
  <sheetFormatPr baseColWidth="8" defaultRowHeight="15"/>
  <cols>
    <col width="5" customWidth="1" min="1" max="1"/>
    <col width="6" customWidth="1" min="2" max="2"/>
    <col width="6" customWidth="1" min="3" max="3"/>
    <col width="42" customWidth="1" min="4" max="4"/>
    <col width="26" customWidth="1" min="5" max="5"/>
    <col width="20" customWidth="1" min="6" max="6"/>
    <col width="18" customWidth="1" min="7" max="7"/>
    <col width="6" customWidth="1" min="8" max="8"/>
    <col width="15" customWidth="1" min="9" max="9"/>
    <col width="22" customWidth="1" min="10" max="10"/>
    <col width="30" customWidth="1" min="11" max="11"/>
    <col width="26" customWidth="1" min="12" max="12"/>
    <col width="20" customWidth="1" min="13" max="13"/>
    <col width="6" customWidth="1" min="14" max="14"/>
    <col width="14" customWidth="1" min="15" max="15"/>
    <col width="16" customWidth="1" min="16" max="16"/>
  </cols>
  <sheetData>
    <row r="1" ht="22" customHeight="1">
      <c r="A1" s="1" t="inlineStr">
        <is>
          <t>Jorge Castro — June 2026 Commission Cross-Check</t>
        </is>
      </c>
    </row>
    <row r="2" ht="14" customHeight="1">
      <c r="A2" s="2" t="inlineStr">
        <is>
          <t>Every insured named on the June 2026 commission PDFs in Admin ▸ Commission Statements who also appears on Jorge Castro's June 2026 commission. Work top-down: Rank A is confirmed, Rank D is almost certainly noise.</t>
        </is>
      </c>
    </row>
    <row r="4">
      <c r="A4" s="3" t="inlineStr">
        <is>
          <t>WHAT WAS CHECKED</t>
        </is>
      </c>
    </row>
    <row r="5">
      <c r="A5" s="4" t="inlineStr">
        <is>
          <t>June 2026 PDFs uploaded</t>
        </is>
      </c>
      <c r="C5" s="5" t="inlineStr">
        <is>
          <t>5 files, 4 unique — "Amwins Comm.PDF" was uploaded twice (byte-identical)</t>
        </is>
      </c>
    </row>
    <row r="6">
      <c r="A6" s="6" t="inlineStr">
        <is>
          <t xml:space="preserve">  1. Amwins Specialty Auto</t>
        </is>
      </c>
      <c r="C6" s="5" t="inlineStr">
        <is>
          <t>01_Amwins_Comm.PDF — 9 rows, 7 insureds, $72.34 — ties to statement total</t>
        </is>
      </c>
    </row>
    <row r="7">
      <c r="A7" s="6" t="inlineStr">
        <is>
          <t xml:space="preserve">  2. Progressive</t>
        </is>
      </c>
      <c r="C7" s="5" t="inlineStr">
        <is>
          <t>02_DetailedStatement20260717.pdf — 188 rows, 138 insureds, $14,289.02 — ties to statement total</t>
        </is>
      </c>
    </row>
    <row r="8">
      <c r="A8" s="6" t="inlineStr">
        <is>
          <t xml:space="preserve">  3. Kemper Auto (Infinity)</t>
        </is>
      </c>
      <c r="C8" s="5" t="inlineStr">
        <is>
          <t>03_07b3dbfb-…-8a1869835bb5.pdf — 27 rows, 20 insureds, $656.60 — ties to statement total</t>
        </is>
      </c>
    </row>
    <row r="9">
      <c r="A9" s="6" t="inlineStr">
        <is>
          <t xml:space="preserve">  4. GEICO</t>
        </is>
      </c>
      <c r="C9" s="5" t="inlineStr">
        <is>
          <t>04_Commission Statement (35).pdf — 38 rows, 19 insureds, $2,267.79 — ties to statement total</t>
        </is>
      </c>
    </row>
    <row r="10">
      <c r="A10" s="4" t="inlineStr">
        <is>
          <t>Jorge Castro's June 2026 commission</t>
        </is>
      </c>
      <c r="C10" s="5" t="inlineStr">
        <is>
          <t>56 statement rows / 35 insureds — United Auto (52 rows) + Ocean Harbor (4 rows), $332.59 net; plus 1 binder-book entry he wrote in June (Marlene Castillo)</t>
        </is>
      </c>
    </row>
    <row r="11">
      <c r="A11" s="4" t="inlineStr">
        <is>
          <t>Producers named on the 4 PDFs</t>
        </is>
      </c>
      <c r="C11" s="5" t="inlineStr">
        <is>
          <t>Alberto Manzor, Amanda Montano, Dahil R. Duenas, Unassigned — Jorge Castro is not a producer on any of them</t>
        </is>
      </c>
    </row>
    <row r="13">
      <c r="A13" s="3" t="inlineStr">
        <is>
          <t>HOW TO READ THE RANK</t>
        </is>
      </c>
    </row>
    <row r="14">
      <c r="A14" s="7" t="inlineStr">
        <is>
          <t>A</t>
        </is>
      </c>
      <c r="C14" s="5" t="inlineStr">
        <is>
          <t>Confirmed — the same policy number appears on both sides. No judgement needed.</t>
        </is>
      </c>
    </row>
    <row r="15">
      <c r="A15" s="8" t="inlineStr">
        <is>
          <t>B</t>
        </is>
      </c>
      <c r="C15" s="5" t="inlineStr">
        <is>
          <t>Likely the same person — surname and first name (or initial) both agree.</t>
        </is>
      </c>
    </row>
    <row r="16">
      <c r="A16" s="9" t="inlineStr">
        <is>
          <t>C</t>
        </is>
      </c>
      <c r="C16" s="5" t="inlineStr">
        <is>
          <t>Needs your eyes — surname agrees but the first name differs or is not printed.</t>
        </is>
      </c>
    </row>
    <row r="17">
      <c r="A17" s="10" t="inlineStr">
        <is>
          <t>D</t>
        </is>
      </c>
      <c r="C17" s="5" t="inlineStr">
        <is>
          <t>Common surname only and the first names differ — most likely a different person.</t>
        </is>
      </c>
    </row>
    <row r="19">
      <c r="A19" s="3" t="inlineStr">
        <is>
          <t>CANDIDATES</t>
        </is>
      </c>
    </row>
    <row r="20">
      <c r="C20" s="7">
        <f>COUNTIF($C$26:$C$64,"A")</f>
        <v/>
      </c>
      <c r="D20" s="6" t="inlineStr">
        <is>
          <t>Rank A</t>
        </is>
      </c>
    </row>
    <row r="21">
      <c r="C21" s="8">
        <f>COUNTIF($C$26:$C$64,"B")</f>
        <v/>
      </c>
      <c r="D21" s="6" t="inlineStr">
        <is>
          <t>Rank B</t>
        </is>
      </c>
    </row>
    <row r="22">
      <c r="C22" s="9">
        <f>COUNTIF($C$26:$C$64,"C")</f>
        <v/>
      </c>
      <c r="D22" s="6" t="inlineStr">
        <is>
          <t>Rank C</t>
        </is>
      </c>
    </row>
    <row r="23">
      <c r="C23" s="10">
        <f>COUNTIF($C$26:$C$64,"D")</f>
        <v/>
      </c>
      <c r="D23" s="6" t="inlineStr">
        <is>
          <t>Rank D</t>
        </is>
      </c>
    </row>
    <row r="25" ht="30" customHeight="1">
      <c r="A25" s="11" t="inlineStr">
        <is>
          <t>#</t>
        </is>
      </c>
      <c r="B25" s="11" t="inlineStr">
        <is>
          <t>OK?</t>
        </is>
      </c>
      <c r="C25" s="11" t="inlineStr">
        <is>
          <t>Rank</t>
        </is>
      </c>
      <c r="D25" s="11" t="inlineStr">
        <is>
          <t>What it looks like</t>
        </is>
      </c>
      <c r="E25" s="11" t="inlineStr">
        <is>
          <t>Name on the June PDF</t>
        </is>
      </c>
      <c r="F25" s="11" t="inlineStr">
        <is>
          <t>Carrier / statement</t>
        </is>
      </c>
      <c r="G25" s="11" t="inlineStr">
        <is>
          <t>Policy # on PDF</t>
        </is>
      </c>
      <c r="H25" s="11" t="inlineStr">
        <is>
          <t>Rows</t>
        </is>
      </c>
      <c r="I25" s="11" t="inlineStr">
        <is>
          <t>Commission on PDF</t>
        </is>
      </c>
      <c r="J25" s="11" t="inlineStr">
        <is>
          <t>Producer on PDF</t>
        </is>
      </c>
      <c r="K25" s="11" t="inlineStr">
        <is>
          <t>Name on Jorge Castro's June commission</t>
        </is>
      </c>
      <c r="L25" s="11" t="inlineStr">
        <is>
          <t>Where it sits</t>
        </is>
      </c>
      <c r="M25" s="11" t="inlineStr">
        <is>
          <t>Policy # on his commission</t>
        </is>
      </c>
      <c r="N25" s="11" t="inlineStr">
        <is>
          <t>Rows</t>
        </is>
      </c>
      <c r="O25" s="11" t="inlineStr">
        <is>
          <t>His commission</t>
        </is>
      </c>
      <c r="P25" s="11" t="inlineStr">
        <is>
          <t>Matched on</t>
        </is>
      </c>
    </row>
    <row r="26">
      <c r="A26" s="12" t="n">
        <v>1</v>
      </c>
      <c r="B26" s="13" t="inlineStr"/>
      <c r="C26" s="7" t="inlineStr">
        <is>
          <t>A</t>
        </is>
      </c>
      <c r="D26" s="14" t="inlineStr">
        <is>
          <t>CONFIRMED - same policy number on both sides</t>
        </is>
      </c>
      <c r="E26" s="15" t="inlineStr">
        <is>
          <t>CASTILLO, MARLENE</t>
        </is>
      </c>
      <c r="F26" s="16" t="inlineStr">
        <is>
          <t>Kemper Auto</t>
        </is>
      </c>
      <c r="G26" s="16" t="inlineStr">
        <is>
          <t>10268755201-1</t>
        </is>
      </c>
      <c r="H26" s="12" t="n">
        <v>1</v>
      </c>
      <c r="I26" s="17" t="n">
        <v>118.3</v>
      </c>
      <c r="J26" s="16" t="inlineStr"/>
      <c r="K26" s="15" t="inlineStr">
        <is>
          <t>Marlene Castillo</t>
        </is>
      </c>
      <c r="L26" s="16" t="inlineStr">
        <is>
          <t>Binder book (his own June entry)</t>
        </is>
      </c>
      <c r="M26" s="16" t="inlineStr">
        <is>
          <t>10268755201</t>
        </is>
      </c>
      <c r="N26" s="12" t="n">
        <v>1</v>
      </c>
      <c r="O26" s="17" t="n">
        <v>59.15</v>
      </c>
      <c r="P26" s="16" t="inlineStr">
        <is>
          <t>Policy number</t>
        </is>
      </c>
    </row>
    <row r="27">
      <c r="A27" s="18" t="n">
        <v>2</v>
      </c>
      <c r="B27" s="13" t="inlineStr"/>
      <c r="C27" s="8" t="inlineStr">
        <is>
          <t>B</t>
        </is>
      </c>
      <c r="D27" s="19" t="inlineStr">
        <is>
          <t>Likely the same person - surname and first name both agree</t>
        </is>
      </c>
      <c r="E27" s="20" t="inlineStr">
        <is>
          <t>PEREZ J.</t>
        </is>
      </c>
      <c r="F27" s="21" t="inlineStr">
        <is>
          <t>Progressive</t>
        </is>
      </c>
      <c r="G27" s="21" t="inlineStr">
        <is>
          <t>999181480</t>
        </is>
      </c>
      <c r="H27" s="18" t="n">
        <v>1</v>
      </c>
      <c r="I27" s="22" t="n">
        <v>61.9</v>
      </c>
      <c r="J27" s="21" t="inlineStr">
        <is>
          <t>Alberto Manzor</t>
        </is>
      </c>
      <c r="K27" s="20" t="inlineStr">
        <is>
          <t>Jose A Cruz Perez</t>
        </is>
      </c>
      <c r="L27" s="21" t="inlineStr">
        <is>
          <t>United Auto statement</t>
        </is>
      </c>
      <c r="M27" s="21" t="inlineStr">
        <is>
          <t>UAE-000217449</t>
        </is>
      </c>
      <c r="N27" s="18" t="n">
        <v>1</v>
      </c>
      <c r="O27" s="22" t="n">
        <v>-42.07</v>
      </c>
      <c r="P27" s="21" t="inlineStr">
        <is>
          <t>PEREZ</t>
        </is>
      </c>
    </row>
    <row r="28">
      <c r="A28" s="12" t="n">
        <v>3</v>
      </c>
      <c r="B28" s="13" t="inlineStr"/>
      <c r="C28" s="9" t="inlineStr">
        <is>
          <t>C</t>
        </is>
      </c>
      <c r="D28" s="14" t="inlineStr">
        <is>
          <t>Same uncommon surname, different first name - possible relative/same household</t>
        </is>
      </c>
      <c r="E28" s="16" t="inlineStr">
        <is>
          <t>JOHNSON, LIONEL</t>
        </is>
      </c>
      <c r="F28" s="16" t="inlineStr">
        <is>
          <t>Kemper Auto</t>
        </is>
      </c>
      <c r="G28" s="16" t="inlineStr">
        <is>
          <t>10268783901-1</t>
        </is>
      </c>
      <c r="H28" s="12" t="n">
        <v>2</v>
      </c>
      <c r="I28" s="17" t="n">
        <v>186.8</v>
      </c>
      <c r="J28" s="16" t="inlineStr"/>
      <c r="K28" s="16" t="inlineStr">
        <is>
          <t>Johnson, Jahmar J</t>
        </is>
      </c>
      <c r="L28" s="16" t="inlineStr">
        <is>
          <t>Ocean Harbor statement</t>
        </is>
      </c>
      <c r="M28" s="16" t="inlineStr">
        <is>
          <t>P020109544801</t>
        </is>
      </c>
      <c r="N28" s="12" t="n">
        <v>2</v>
      </c>
      <c r="O28" s="17" t="n">
        <v>-60.11</v>
      </c>
      <c r="P28" s="16" t="inlineStr">
        <is>
          <t>JOHNSON</t>
        </is>
      </c>
    </row>
    <row r="29">
      <c r="A29" s="18" t="n">
        <v>4</v>
      </c>
      <c r="B29" s="13" t="inlineStr"/>
      <c r="C29" s="9" t="inlineStr">
        <is>
          <t>C</t>
        </is>
      </c>
      <c r="D29" s="19" t="inlineStr">
        <is>
          <t>Same uncommon surname, different first name - possible relative/same household</t>
        </is>
      </c>
      <c r="E29" s="21" t="inlineStr">
        <is>
          <t>ORTUNO J.</t>
        </is>
      </c>
      <c r="F29" s="21" t="inlineStr">
        <is>
          <t>Progressive</t>
        </is>
      </c>
      <c r="G29" s="21" t="inlineStr">
        <is>
          <t>871466655</t>
        </is>
      </c>
      <c r="H29" s="18" t="n">
        <v>1</v>
      </c>
      <c r="I29" s="22" t="n">
        <v>-2.61</v>
      </c>
      <c r="J29" s="21" t="inlineStr">
        <is>
          <t>Amanda Montano</t>
        </is>
      </c>
      <c r="K29" s="21" t="inlineStr">
        <is>
          <t>Luis M Ortuno</t>
        </is>
      </c>
      <c r="L29" s="21" t="inlineStr">
        <is>
          <t>United Auto statement</t>
        </is>
      </c>
      <c r="M29" s="21" t="inlineStr">
        <is>
          <t>UAE-000254009</t>
        </is>
      </c>
      <c r="N29" s="18" t="n">
        <v>1</v>
      </c>
      <c r="O29" s="22" t="n">
        <v>-9.44</v>
      </c>
      <c r="P29" s="21" t="inlineStr">
        <is>
          <t>ORTUNO</t>
        </is>
      </c>
    </row>
    <row r="30">
      <c r="A30" s="12" t="n">
        <v>5</v>
      </c>
      <c r="B30" s="13" t="inlineStr"/>
      <c r="C30" s="9" t="inlineStr">
        <is>
          <t>C</t>
        </is>
      </c>
      <c r="D30" s="14" t="inlineStr">
        <is>
          <t>Same uncommon surname, different first name - possible relative/same household</t>
        </is>
      </c>
      <c r="E30" s="16" t="inlineStr">
        <is>
          <t>PETIT-HOMME JEFFREY BO</t>
        </is>
      </c>
      <c r="F30" s="16" t="inlineStr">
        <is>
          <t>Amwins Specialty Auto</t>
        </is>
      </c>
      <c r="G30" s="16" t="inlineStr">
        <is>
          <t>FFL01067788</t>
        </is>
      </c>
      <c r="H30" s="12" t="n">
        <v>2</v>
      </c>
      <c r="I30" s="17" t="n">
        <v>35.7</v>
      </c>
      <c r="J30" s="16" t="inlineStr"/>
      <c r="K30" s="16" t="inlineStr">
        <is>
          <t>Mirloude Petit Frere</t>
        </is>
      </c>
      <c r="L30" s="16" t="inlineStr">
        <is>
          <t>United Auto statement</t>
        </is>
      </c>
      <c r="M30" s="16" t="inlineStr">
        <is>
          <t>UAH-000518008</t>
        </is>
      </c>
      <c r="N30" s="12" t="n">
        <v>2</v>
      </c>
      <c r="O30" s="17" t="n">
        <v>337.74</v>
      </c>
      <c r="P30" s="16" t="inlineStr">
        <is>
          <t>PETIT</t>
        </is>
      </c>
    </row>
    <row r="31">
      <c r="A31" s="18" t="n">
        <v>6</v>
      </c>
      <c r="B31" s="13" t="inlineStr"/>
      <c r="C31" s="9" t="inlineStr">
        <is>
          <t>C</t>
        </is>
      </c>
      <c r="D31" s="19" t="inlineStr">
        <is>
          <t>Same uncommon surname, different first name - possible relative/same household</t>
        </is>
      </c>
      <c r="E31" s="21" t="inlineStr">
        <is>
          <t>ACIKDENIZ Y.</t>
        </is>
      </c>
      <c r="F31" s="21" t="inlineStr">
        <is>
          <t>Progressive</t>
        </is>
      </c>
      <c r="G31" s="21" t="inlineStr">
        <is>
          <t>982895397</t>
        </is>
      </c>
      <c r="H31" s="18" t="n">
        <v>1</v>
      </c>
      <c r="I31" s="22" t="n">
        <v>94.90000000000001</v>
      </c>
      <c r="J31" s="21" t="inlineStr">
        <is>
          <t>Alberto Manzor</t>
        </is>
      </c>
      <c r="K31" s="21" t="inlineStr">
        <is>
          <t>Mustafa Acikdeniz</t>
        </is>
      </c>
      <c r="L31" s="21" t="inlineStr">
        <is>
          <t>United Auto statement</t>
        </is>
      </c>
      <c r="M31" s="21" t="inlineStr">
        <is>
          <t>UAM-001471002</t>
        </is>
      </c>
      <c r="N31" s="18" t="n">
        <v>1</v>
      </c>
      <c r="O31" s="22" t="n">
        <v>-15.88</v>
      </c>
      <c r="P31" s="21" t="inlineStr">
        <is>
          <t>ACIKDENIZ</t>
        </is>
      </c>
    </row>
    <row r="32">
      <c r="A32" s="12" t="n">
        <v>7</v>
      </c>
      <c r="B32" s="13" t="inlineStr"/>
      <c r="C32" s="9" t="inlineStr">
        <is>
          <t>C</t>
        </is>
      </c>
      <c r="D32" s="14" t="inlineStr">
        <is>
          <t>Same uncommon surname, different first name - possible relative/same household</t>
        </is>
      </c>
      <c r="E32" s="16" t="inlineStr">
        <is>
          <t>GONZALEZ, FELIPE</t>
        </is>
      </c>
      <c r="F32" s="16" t="inlineStr">
        <is>
          <t>Kemper Auto</t>
        </is>
      </c>
      <c r="G32" s="16" t="inlineStr">
        <is>
          <t>10270429601-1</t>
        </is>
      </c>
      <c r="H32" s="12" t="n">
        <v>2</v>
      </c>
      <c r="I32" s="17" t="n">
        <v>290</v>
      </c>
      <c r="J32" s="16" t="inlineStr"/>
      <c r="K32" s="16" t="inlineStr">
        <is>
          <t>Oreste Canizares Gonz</t>
        </is>
      </c>
      <c r="L32" s="16" t="inlineStr">
        <is>
          <t>United Auto statement</t>
        </is>
      </c>
      <c r="M32" s="16" t="inlineStr">
        <is>
          <t>UAD-607888404</t>
        </is>
      </c>
      <c r="N32" s="12" t="n">
        <v>2</v>
      </c>
      <c r="O32" s="17" t="n">
        <v>-26.28</v>
      </c>
      <c r="P32" s="16" t="inlineStr">
        <is>
          <t>GONZ</t>
        </is>
      </c>
    </row>
    <row r="33">
      <c r="A33" s="18" t="n">
        <v>8</v>
      </c>
      <c r="B33" s="13" t="inlineStr"/>
      <c r="C33" s="9" t="inlineStr">
        <is>
          <t>C</t>
        </is>
      </c>
      <c r="D33" s="19" t="inlineStr">
        <is>
          <t>Same uncommon surname, different first name - possible relative/same household</t>
        </is>
      </c>
      <c r="E33" s="21" t="inlineStr">
        <is>
          <t>ACIKDENIZ Y.</t>
        </is>
      </c>
      <c r="F33" s="21" t="inlineStr">
        <is>
          <t>Progressive</t>
        </is>
      </c>
      <c r="G33" s="21" t="inlineStr">
        <is>
          <t>982895397</t>
        </is>
      </c>
      <c r="H33" s="18" t="n">
        <v>1</v>
      </c>
      <c r="I33" s="22" t="n">
        <v>94.90000000000001</v>
      </c>
      <c r="J33" s="21" t="inlineStr">
        <is>
          <t>Alberto Manzor</t>
        </is>
      </c>
      <c r="K33" s="21" t="inlineStr">
        <is>
          <t>Recep Acikdeniz</t>
        </is>
      </c>
      <c r="L33" s="21" t="inlineStr">
        <is>
          <t>United Auto statement</t>
        </is>
      </c>
      <c r="M33" s="21" t="inlineStr">
        <is>
          <t>UAM-001509402</t>
        </is>
      </c>
      <c r="N33" s="18" t="n">
        <v>1</v>
      </c>
      <c r="O33" s="22" t="n">
        <v>-5.74</v>
      </c>
      <c r="P33" s="21" t="inlineStr">
        <is>
          <t>ACIKDENIZ</t>
        </is>
      </c>
    </row>
    <row r="34">
      <c r="A34" s="12" t="n">
        <v>9</v>
      </c>
      <c r="B34" s="13" t="inlineStr"/>
      <c r="C34" s="10" t="inlineStr">
        <is>
          <t>D</t>
        </is>
      </c>
      <c r="D34" s="14" t="inlineStr">
        <is>
          <t>Common surname only, first names differ - most likely a different person</t>
        </is>
      </c>
      <c r="E34" s="16" t="inlineStr">
        <is>
          <t>IRIS LOPEZ SANCHEZ</t>
        </is>
      </c>
      <c r="F34" s="16" t="inlineStr">
        <is>
          <t>GEICO</t>
        </is>
      </c>
      <c r="G34" s="16" t="inlineStr">
        <is>
          <t>6219586788-442580316</t>
        </is>
      </c>
      <c r="H34" s="12" t="n">
        <v>2</v>
      </c>
      <c r="I34" s="17" t="n">
        <v>-45.78</v>
      </c>
      <c r="J34" s="16" t="inlineStr">
        <is>
          <t>Alberto Manzor Jr</t>
        </is>
      </c>
      <c r="K34" s="16" t="inlineStr">
        <is>
          <t>Hanzel Hernandez Sanc</t>
        </is>
      </c>
      <c r="L34" s="16" t="inlineStr">
        <is>
          <t>United Auto statement</t>
        </is>
      </c>
      <c r="M34" s="16" t="inlineStr">
        <is>
          <t>UAO-054940301</t>
        </is>
      </c>
      <c r="N34" s="12" t="n">
        <v>1</v>
      </c>
      <c r="O34" s="17" t="n">
        <v>-9.539999999999999</v>
      </c>
      <c r="P34" s="16" t="inlineStr">
        <is>
          <t>SANC</t>
        </is>
      </c>
    </row>
    <row r="35">
      <c r="A35" s="18" t="n">
        <v>10</v>
      </c>
      <c r="B35" s="13" t="inlineStr"/>
      <c r="C35" s="10" t="inlineStr">
        <is>
          <t>D</t>
        </is>
      </c>
      <c r="D35" s="19" t="inlineStr">
        <is>
          <t>Common surname only, first names differ - most likely a different person</t>
        </is>
      </c>
      <c r="E35" s="21" t="inlineStr">
        <is>
          <t>SANCHEZ B.</t>
        </is>
      </c>
      <c r="F35" s="21" t="inlineStr">
        <is>
          <t>Progressive</t>
        </is>
      </c>
      <c r="G35" s="21" t="inlineStr">
        <is>
          <t>875937865</t>
        </is>
      </c>
      <c r="H35" s="18" t="n">
        <v>1</v>
      </c>
      <c r="I35" s="22" t="n">
        <v>160.44</v>
      </c>
      <c r="J35" s="21" t="inlineStr">
        <is>
          <t>Alberto Manzor</t>
        </is>
      </c>
      <c r="K35" s="21" t="inlineStr">
        <is>
          <t>Hanzel Hernandez Sanc</t>
        </is>
      </c>
      <c r="L35" s="21" t="inlineStr">
        <is>
          <t>United Auto statement</t>
        </is>
      </c>
      <c r="M35" s="21" t="inlineStr">
        <is>
          <t>UAO-054940301</t>
        </is>
      </c>
      <c r="N35" s="18" t="n">
        <v>1</v>
      </c>
      <c r="O35" s="22" t="n">
        <v>-9.539999999999999</v>
      </c>
      <c r="P35" s="21" t="inlineStr">
        <is>
          <t>SANC</t>
        </is>
      </c>
    </row>
    <row r="36">
      <c r="A36" s="12" t="n">
        <v>11</v>
      </c>
      <c r="B36" s="13" t="inlineStr"/>
      <c r="C36" s="10" t="inlineStr">
        <is>
          <t>D</t>
        </is>
      </c>
      <c r="D36" s="14" t="inlineStr">
        <is>
          <t>Common surname only, first names differ - most likely a different person</t>
        </is>
      </c>
      <c r="E36" s="16" t="inlineStr">
        <is>
          <t>RAMON RODRIGUEZ FALCON</t>
        </is>
      </c>
      <c r="F36" s="16" t="inlineStr">
        <is>
          <t>GEICO</t>
        </is>
      </c>
      <c r="G36" s="16" t="inlineStr">
        <is>
          <t>6261849761-461404862</t>
        </is>
      </c>
      <c r="H36" s="12" t="n">
        <v>2</v>
      </c>
      <c r="I36" s="17" t="n">
        <v>387.9</v>
      </c>
      <c r="J36" s="16" t="inlineStr">
        <is>
          <t>Alberto Manzor Jr</t>
        </is>
      </c>
      <c r="K36" s="16" t="inlineStr">
        <is>
          <t>Hector L Rodriguez Ra</t>
        </is>
      </c>
      <c r="L36" s="16" t="inlineStr">
        <is>
          <t>United Auto statement</t>
        </is>
      </c>
      <c r="M36" s="16" t="inlineStr">
        <is>
          <t>UAE-020965001</t>
        </is>
      </c>
      <c r="N36" s="12" t="n">
        <v>2</v>
      </c>
      <c r="O36" s="17" t="n">
        <v>-19.2</v>
      </c>
      <c r="P36" s="16" t="inlineStr">
        <is>
          <t>RODRIGUEZ</t>
        </is>
      </c>
    </row>
    <row r="37">
      <c r="A37" s="18" t="n">
        <v>12</v>
      </c>
      <c r="B37" s="13" t="inlineStr"/>
      <c r="C37" s="10" t="inlineStr">
        <is>
          <t>D</t>
        </is>
      </c>
      <c r="D37" s="19" t="inlineStr">
        <is>
          <t>Common surname only, first names differ - most likely a different person</t>
        </is>
      </c>
      <c r="E37" s="21" t="inlineStr">
        <is>
          <t>FAYAS RODRIG G.</t>
        </is>
      </c>
      <c r="F37" s="21" t="inlineStr">
        <is>
          <t>Progressive</t>
        </is>
      </c>
      <c r="G37" s="21" t="inlineStr">
        <is>
          <t>867943703</t>
        </is>
      </c>
      <c r="H37" s="18" t="n">
        <v>2</v>
      </c>
      <c r="I37" s="22" t="n">
        <v>358.8</v>
      </c>
      <c r="J37" s="21" t="inlineStr">
        <is>
          <t>Alberto Manzor</t>
        </is>
      </c>
      <c r="K37" s="21" t="inlineStr">
        <is>
          <t>Hector L Rodriguez Ra</t>
        </is>
      </c>
      <c r="L37" s="21" t="inlineStr">
        <is>
          <t>United Auto statement</t>
        </is>
      </c>
      <c r="M37" s="21" t="inlineStr">
        <is>
          <t>UAE-020965001</t>
        </is>
      </c>
      <c r="N37" s="18" t="n">
        <v>2</v>
      </c>
      <c r="O37" s="22" t="n">
        <v>-19.2</v>
      </c>
      <c r="P37" s="21" t="inlineStr">
        <is>
          <t>RODRIGUEZ</t>
        </is>
      </c>
    </row>
    <row r="38">
      <c r="A38" s="12" t="n">
        <v>13</v>
      </c>
      <c r="B38" s="13" t="inlineStr"/>
      <c r="C38" s="10" t="inlineStr">
        <is>
          <t>D</t>
        </is>
      </c>
      <c r="D38" s="14" t="inlineStr">
        <is>
          <t>Common surname only, first names differ - most likely a different person</t>
        </is>
      </c>
      <c r="E38" s="16" t="inlineStr">
        <is>
          <t>RODRIGUEZ L.</t>
        </is>
      </c>
      <c r="F38" s="16" t="inlineStr">
        <is>
          <t>Progressive</t>
        </is>
      </c>
      <c r="G38" s="16" t="inlineStr">
        <is>
          <t>872916061</t>
        </is>
      </c>
      <c r="H38" s="12" t="n">
        <v>2</v>
      </c>
      <c r="I38" s="17" t="n">
        <v>43.98</v>
      </c>
      <c r="J38" s="16" t="inlineStr">
        <is>
          <t>Alberto Manzor</t>
        </is>
      </c>
      <c r="K38" s="16" t="inlineStr">
        <is>
          <t>Hector L Rodriguez Ra</t>
        </is>
      </c>
      <c r="L38" s="16" t="inlineStr">
        <is>
          <t>United Auto statement</t>
        </is>
      </c>
      <c r="M38" s="16" t="inlineStr">
        <is>
          <t>UAE-020965001</t>
        </is>
      </c>
      <c r="N38" s="12" t="n">
        <v>2</v>
      </c>
      <c r="O38" s="17" t="n">
        <v>-19.2</v>
      </c>
      <c r="P38" s="16" t="inlineStr">
        <is>
          <t>RODRIGUEZ</t>
        </is>
      </c>
    </row>
    <row r="39">
      <c r="A39" s="18" t="n">
        <v>14</v>
      </c>
      <c r="B39" s="13" t="inlineStr"/>
      <c r="C39" s="10" t="inlineStr">
        <is>
          <t>D</t>
        </is>
      </c>
      <c r="D39" s="19" t="inlineStr">
        <is>
          <t>Common surname only, first names differ - most likely a different person</t>
        </is>
      </c>
      <c r="E39" s="21" t="inlineStr">
        <is>
          <t>RODRIGUEZ Y.</t>
        </is>
      </c>
      <c r="F39" s="21" t="inlineStr">
        <is>
          <t>Progressive</t>
        </is>
      </c>
      <c r="G39" s="21" t="inlineStr">
        <is>
          <t>964557631</t>
        </is>
      </c>
      <c r="H39" s="18" t="n">
        <v>2</v>
      </c>
      <c r="I39" s="22" t="n">
        <v>381.4</v>
      </c>
      <c r="J39" s="21" t="inlineStr">
        <is>
          <t>Alberto Manzor</t>
        </is>
      </c>
      <c r="K39" s="21" t="inlineStr">
        <is>
          <t>Hector L Rodriguez Ra</t>
        </is>
      </c>
      <c r="L39" s="21" t="inlineStr">
        <is>
          <t>United Auto statement</t>
        </is>
      </c>
      <c r="M39" s="21" t="inlineStr">
        <is>
          <t>UAE-020965001</t>
        </is>
      </c>
      <c r="N39" s="18" t="n">
        <v>2</v>
      </c>
      <c r="O39" s="22" t="n">
        <v>-19.2</v>
      </c>
      <c r="P39" s="21" t="inlineStr">
        <is>
          <t>RODRIGUEZ</t>
        </is>
      </c>
    </row>
    <row r="40">
      <c r="A40" s="12" t="n">
        <v>15</v>
      </c>
      <c r="B40" s="13" t="inlineStr"/>
      <c r="C40" s="10" t="inlineStr">
        <is>
          <t>D</t>
        </is>
      </c>
      <c r="D40" s="14" t="inlineStr">
        <is>
          <t>Common surname only, first names differ - most likely a different person</t>
        </is>
      </c>
      <c r="E40" s="16" t="inlineStr">
        <is>
          <t>ANTONIO PEREZ</t>
        </is>
      </c>
      <c r="F40" s="16" t="inlineStr">
        <is>
          <t>GEICO</t>
        </is>
      </c>
      <c r="G40" s="16" t="inlineStr">
        <is>
          <t>6261712878-461298949</t>
        </is>
      </c>
      <c r="H40" s="12" t="n">
        <v>2</v>
      </c>
      <c r="I40" s="17" t="n">
        <v>346.35</v>
      </c>
      <c r="J40" s="16" t="inlineStr">
        <is>
          <t>Amanda Montano</t>
        </is>
      </c>
      <c r="K40" s="16" t="inlineStr">
        <is>
          <t>Jose A Cruz Perez</t>
        </is>
      </c>
      <c r="L40" s="16" t="inlineStr">
        <is>
          <t>United Auto statement</t>
        </is>
      </c>
      <c r="M40" s="16" t="inlineStr">
        <is>
          <t>UAE-000217449</t>
        </is>
      </c>
      <c r="N40" s="12" t="n">
        <v>1</v>
      </c>
      <c r="O40" s="17" t="n">
        <v>-42.07</v>
      </c>
      <c r="P40" s="16" t="inlineStr">
        <is>
          <t>PEREZ</t>
        </is>
      </c>
    </row>
    <row r="41">
      <c r="A41" s="18" t="n">
        <v>16</v>
      </c>
      <c r="B41" s="13" t="inlineStr"/>
      <c r="C41" s="10" t="inlineStr">
        <is>
          <t>D</t>
        </is>
      </c>
      <c r="D41" s="19" t="inlineStr">
        <is>
          <t>Common surname only, first names differ - most likely a different person</t>
        </is>
      </c>
      <c r="E41" s="21" t="inlineStr">
        <is>
          <t>VICENTE PEREZ</t>
        </is>
      </c>
      <c r="F41" s="21" t="inlineStr">
        <is>
          <t>GEICO</t>
        </is>
      </c>
      <c r="G41" s="21" t="inlineStr">
        <is>
          <t>6261547670-461191603</t>
        </is>
      </c>
      <c r="H41" s="18" t="n">
        <v>1</v>
      </c>
      <c r="I41" s="22" t="n">
        <v>377.7</v>
      </c>
      <c r="J41" s="21" t="inlineStr">
        <is>
          <t>Amanda Montano</t>
        </is>
      </c>
      <c r="K41" s="21" t="inlineStr">
        <is>
          <t>Jose A Cruz Perez</t>
        </is>
      </c>
      <c r="L41" s="21" t="inlineStr">
        <is>
          <t>United Auto statement</t>
        </is>
      </c>
      <c r="M41" s="21" t="inlineStr">
        <is>
          <t>UAE-000217449</t>
        </is>
      </c>
      <c r="N41" s="18" t="n">
        <v>1</v>
      </c>
      <c r="O41" s="22" t="n">
        <v>-42.07</v>
      </c>
      <c r="P41" s="21" t="inlineStr">
        <is>
          <t>PEREZ</t>
        </is>
      </c>
    </row>
    <row r="42">
      <c r="A42" s="12" t="n">
        <v>17</v>
      </c>
      <c r="B42" s="13" t="inlineStr"/>
      <c r="C42" s="10" t="inlineStr">
        <is>
          <t>D</t>
        </is>
      </c>
      <c r="D42" s="14" t="inlineStr">
        <is>
          <t>Common surname only, first names differ - most likely a different person</t>
        </is>
      </c>
      <c r="E42" s="16" t="inlineStr">
        <is>
          <t>YADIAN PEREZ HERRERA</t>
        </is>
      </c>
      <c r="F42" s="16" t="inlineStr">
        <is>
          <t>GEICO</t>
        </is>
      </c>
      <c r="G42" s="16" t="inlineStr">
        <is>
          <t>6224341963-445884698</t>
        </is>
      </c>
      <c r="H42" s="12" t="n">
        <v>2</v>
      </c>
      <c r="I42" s="17" t="n">
        <v>-56.09</v>
      </c>
      <c r="J42" s="16" t="inlineStr">
        <is>
          <t>Alberto Manzor Jr</t>
        </is>
      </c>
      <c r="K42" s="16" t="inlineStr">
        <is>
          <t>Jose A Cruz Perez</t>
        </is>
      </c>
      <c r="L42" s="16" t="inlineStr">
        <is>
          <t>United Auto statement</t>
        </is>
      </c>
      <c r="M42" s="16" t="inlineStr">
        <is>
          <t>UAE-000217449</t>
        </is>
      </c>
      <c r="N42" s="12" t="n">
        <v>1</v>
      </c>
      <c r="O42" s="17" t="n">
        <v>-42.07</v>
      </c>
      <c r="P42" s="16" t="inlineStr">
        <is>
          <t>PEREZ</t>
        </is>
      </c>
    </row>
    <row r="43">
      <c r="A43" s="18" t="n">
        <v>18</v>
      </c>
      <c r="B43" s="13" t="inlineStr"/>
      <c r="C43" s="10" t="inlineStr">
        <is>
          <t>D</t>
        </is>
      </c>
      <c r="D43" s="19" t="inlineStr">
        <is>
          <t>Common surname only, first names differ - most likely a different person</t>
        </is>
      </c>
      <c r="E43" s="21" t="inlineStr">
        <is>
          <t>PEREZ ROY, JUAN</t>
        </is>
      </c>
      <c r="F43" s="21" t="inlineStr">
        <is>
          <t>Kemper Auto</t>
        </is>
      </c>
      <c r="G43" s="21" t="inlineStr">
        <is>
          <t>10213255201-2</t>
        </is>
      </c>
      <c r="H43" s="18" t="n">
        <v>2</v>
      </c>
      <c r="I43" s="22" t="n">
        <v>-353.4</v>
      </c>
      <c r="J43" s="21" t="inlineStr"/>
      <c r="K43" s="21" t="inlineStr">
        <is>
          <t>Jose A Cruz Perez</t>
        </is>
      </c>
      <c r="L43" s="21" t="inlineStr">
        <is>
          <t>United Auto statement</t>
        </is>
      </c>
      <c r="M43" s="21" t="inlineStr">
        <is>
          <t>UAE-000217449</t>
        </is>
      </c>
      <c r="N43" s="18" t="n">
        <v>1</v>
      </c>
      <c r="O43" s="22" t="n">
        <v>-42.07</v>
      </c>
      <c r="P43" s="21" t="inlineStr">
        <is>
          <t>PEREZ</t>
        </is>
      </c>
    </row>
    <row r="44">
      <c r="A44" s="12" t="n">
        <v>19</v>
      </c>
      <c r="B44" s="13" t="inlineStr"/>
      <c r="C44" s="10" t="inlineStr">
        <is>
          <t>D</t>
        </is>
      </c>
      <c r="D44" s="14" t="inlineStr">
        <is>
          <t>Common surname only, first names differ - most likely a different person</t>
        </is>
      </c>
      <c r="E44" s="16" t="inlineStr">
        <is>
          <t>CRUZ E.</t>
        </is>
      </c>
      <c r="F44" s="16" t="inlineStr">
        <is>
          <t>Progressive</t>
        </is>
      </c>
      <c r="G44" s="16" t="inlineStr">
        <is>
          <t>998651589</t>
        </is>
      </c>
      <c r="H44" s="12" t="n">
        <v>1</v>
      </c>
      <c r="I44" s="17" t="n">
        <v>219.4</v>
      </c>
      <c r="J44" s="16" t="inlineStr">
        <is>
          <t>Alberto Manzor</t>
        </is>
      </c>
      <c r="K44" s="16" t="inlineStr">
        <is>
          <t>Jose A Cruz Perez</t>
        </is>
      </c>
      <c r="L44" s="16" t="inlineStr">
        <is>
          <t>United Auto statement</t>
        </is>
      </c>
      <c r="M44" s="16" t="inlineStr">
        <is>
          <t>UAE-000217449</t>
        </is>
      </c>
      <c r="N44" s="12" t="n">
        <v>1</v>
      </c>
      <c r="O44" s="17" t="n">
        <v>-42.07</v>
      </c>
      <c r="P44" s="16" t="inlineStr">
        <is>
          <t>CRUZ</t>
        </is>
      </c>
    </row>
    <row r="45">
      <c r="A45" s="18" t="n">
        <v>20</v>
      </c>
      <c r="B45" s="13" t="inlineStr"/>
      <c r="C45" s="10" t="inlineStr">
        <is>
          <t>D</t>
        </is>
      </c>
      <c r="D45" s="19" t="inlineStr">
        <is>
          <t>Common surname only, first names differ - most likely a different person</t>
        </is>
      </c>
      <c r="E45" s="21" t="inlineStr">
        <is>
          <t>DELGADO PERE E.</t>
        </is>
      </c>
      <c r="F45" s="21" t="inlineStr">
        <is>
          <t>Progressive</t>
        </is>
      </c>
      <c r="G45" s="21" t="inlineStr">
        <is>
          <t>983213729</t>
        </is>
      </c>
      <c r="H45" s="18" t="n">
        <v>1</v>
      </c>
      <c r="I45" s="22" t="n">
        <v>56.4</v>
      </c>
      <c r="J45" s="21" t="inlineStr">
        <is>
          <t>Unassigned</t>
        </is>
      </c>
      <c r="K45" s="21" t="inlineStr">
        <is>
          <t>Jose A Cruz Perez</t>
        </is>
      </c>
      <c r="L45" s="21" t="inlineStr">
        <is>
          <t>United Auto statement</t>
        </is>
      </c>
      <c r="M45" s="21" t="inlineStr">
        <is>
          <t>UAE-000217449</t>
        </is>
      </c>
      <c r="N45" s="18" t="n">
        <v>1</v>
      </c>
      <c r="O45" s="22" t="n">
        <v>-42.07</v>
      </c>
      <c r="P45" s="21" t="inlineStr">
        <is>
          <t>PEREZ</t>
        </is>
      </c>
    </row>
    <row r="46">
      <c r="A46" s="12" t="n">
        <v>21</v>
      </c>
      <c r="B46" s="13" t="inlineStr"/>
      <c r="C46" s="10" t="inlineStr">
        <is>
          <t>D</t>
        </is>
      </c>
      <c r="D46" s="14" t="inlineStr">
        <is>
          <t>Common surname only, first names differ - most likely a different person</t>
        </is>
      </c>
      <c r="E46" s="16" t="inlineStr">
        <is>
          <t>PEREZ H.</t>
        </is>
      </c>
      <c r="F46" s="16" t="inlineStr">
        <is>
          <t>Progressive</t>
        </is>
      </c>
      <c r="G46" s="16" t="inlineStr">
        <is>
          <t>866921710</t>
        </is>
      </c>
      <c r="H46" s="12" t="n">
        <v>1</v>
      </c>
      <c r="I46" s="17" t="n">
        <v>53.4</v>
      </c>
      <c r="J46" s="16" t="inlineStr">
        <is>
          <t>Alberto Manzor</t>
        </is>
      </c>
      <c r="K46" s="16" t="inlineStr">
        <is>
          <t>Jose A Cruz Perez</t>
        </is>
      </c>
      <c r="L46" s="16" t="inlineStr">
        <is>
          <t>United Auto statement</t>
        </is>
      </c>
      <c r="M46" s="16" t="inlineStr">
        <is>
          <t>UAE-000217449</t>
        </is>
      </c>
      <c r="N46" s="12" t="n">
        <v>1</v>
      </c>
      <c r="O46" s="17" t="n">
        <v>-42.07</v>
      </c>
      <c r="P46" s="16" t="inlineStr">
        <is>
          <t>PEREZ</t>
        </is>
      </c>
    </row>
    <row r="47">
      <c r="A47" s="18" t="n">
        <v>22</v>
      </c>
      <c r="B47" s="13" t="inlineStr"/>
      <c r="C47" s="10" t="inlineStr">
        <is>
          <t>D</t>
        </is>
      </c>
      <c r="D47" s="19" t="inlineStr">
        <is>
          <t>Common surname only, first names differ - most likely a different person</t>
        </is>
      </c>
      <c r="E47" s="21" t="inlineStr">
        <is>
          <t>ANISLEY LOPEZ BROCHE</t>
        </is>
      </c>
      <c r="F47" s="21" t="inlineStr">
        <is>
          <t>GEICO</t>
        </is>
      </c>
      <c r="G47" s="21" t="inlineStr">
        <is>
          <t>6213666370-456956148</t>
        </is>
      </c>
      <c r="H47" s="18" t="n">
        <v>5</v>
      </c>
      <c r="I47" s="22" t="n">
        <v>137.88</v>
      </c>
      <c r="J47" s="21" t="inlineStr">
        <is>
          <t>Alberto Manzor Jr</t>
        </is>
      </c>
      <c r="K47" s="21" t="inlineStr">
        <is>
          <t>Liz B Lopez</t>
        </is>
      </c>
      <c r="L47" s="21" t="inlineStr">
        <is>
          <t>United Auto statement</t>
        </is>
      </c>
      <c r="M47" s="21" t="inlineStr">
        <is>
          <t>UAO-062029201</t>
        </is>
      </c>
      <c r="N47" s="18" t="n">
        <v>1</v>
      </c>
      <c r="O47" s="22" t="n">
        <v>-17.73</v>
      </c>
      <c r="P47" s="21" t="inlineStr">
        <is>
          <t>LOPEZ</t>
        </is>
      </c>
    </row>
    <row r="48">
      <c r="A48" s="12" t="n">
        <v>23</v>
      </c>
      <c r="B48" s="13" t="inlineStr"/>
      <c r="C48" s="10" t="inlineStr">
        <is>
          <t>D</t>
        </is>
      </c>
      <c r="D48" s="14" t="inlineStr">
        <is>
          <t>Common surname only, first names differ - most likely a different person</t>
        </is>
      </c>
      <c r="E48" s="16" t="inlineStr">
        <is>
          <t>IRIS LOPEZ SANCHEZ</t>
        </is>
      </c>
      <c r="F48" s="16" t="inlineStr">
        <is>
          <t>GEICO</t>
        </is>
      </c>
      <c r="G48" s="16" t="inlineStr">
        <is>
          <t>6219586788-442580316</t>
        </is>
      </c>
      <c r="H48" s="12" t="n">
        <v>2</v>
      </c>
      <c r="I48" s="17" t="n">
        <v>-45.78</v>
      </c>
      <c r="J48" s="16" t="inlineStr">
        <is>
          <t>Alberto Manzor Jr</t>
        </is>
      </c>
      <c r="K48" s="16" t="inlineStr">
        <is>
          <t>Liz B Lopez</t>
        </is>
      </c>
      <c r="L48" s="16" t="inlineStr">
        <is>
          <t>United Auto statement</t>
        </is>
      </c>
      <c r="M48" s="16" t="inlineStr">
        <is>
          <t>UAO-062029201</t>
        </is>
      </c>
      <c r="N48" s="12" t="n">
        <v>1</v>
      </c>
      <c r="O48" s="17" t="n">
        <v>-17.73</v>
      </c>
      <c r="P48" s="16" t="inlineStr">
        <is>
          <t>LOPEZ</t>
        </is>
      </c>
    </row>
    <row r="49">
      <c r="A49" s="18" t="n">
        <v>24</v>
      </c>
      <c r="B49" s="13" t="inlineStr"/>
      <c r="C49" s="10" t="inlineStr">
        <is>
          <t>D</t>
        </is>
      </c>
      <c r="D49" s="19" t="inlineStr">
        <is>
          <t>Common surname only, first names differ - most likely a different person</t>
        </is>
      </c>
      <c r="E49" s="21" t="inlineStr">
        <is>
          <t>Lopez, Felipe</t>
        </is>
      </c>
      <c r="F49" s="21" t="inlineStr">
        <is>
          <t>Kemper Auto</t>
        </is>
      </c>
      <c r="G49" s="21" t="inlineStr">
        <is>
          <t>10270681801-1</t>
        </is>
      </c>
      <c r="H49" s="18" t="n">
        <v>1</v>
      </c>
      <c r="I49" s="22" t="n">
        <v>194.8</v>
      </c>
      <c r="J49" s="21" t="inlineStr"/>
      <c r="K49" s="21" t="inlineStr">
        <is>
          <t>Liz B Lopez</t>
        </is>
      </c>
      <c r="L49" s="21" t="inlineStr">
        <is>
          <t>United Auto statement</t>
        </is>
      </c>
      <c r="M49" s="21" t="inlineStr">
        <is>
          <t>UAO-062029201</t>
        </is>
      </c>
      <c r="N49" s="18" t="n">
        <v>1</v>
      </c>
      <c r="O49" s="22" t="n">
        <v>-17.73</v>
      </c>
      <c r="P49" s="21" t="inlineStr">
        <is>
          <t>LOPEZ</t>
        </is>
      </c>
    </row>
    <row r="50">
      <c r="A50" s="12" t="n">
        <v>25</v>
      </c>
      <c r="B50" s="13" t="inlineStr"/>
      <c r="C50" s="10" t="inlineStr">
        <is>
          <t>D</t>
        </is>
      </c>
      <c r="D50" s="14" t="inlineStr">
        <is>
          <t>Common surname only, first names differ - most likely a different person</t>
        </is>
      </c>
      <c r="E50" s="16" t="inlineStr">
        <is>
          <t>LOPEZ PINA S.</t>
        </is>
      </c>
      <c r="F50" s="16" t="inlineStr">
        <is>
          <t>Progressive</t>
        </is>
      </c>
      <c r="G50" s="16" t="inlineStr">
        <is>
          <t>968946712</t>
        </is>
      </c>
      <c r="H50" s="12" t="n">
        <v>2</v>
      </c>
      <c r="I50" s="17" t="n">
        <v>-123.56</v>
      </c>
      <c r="J50" s="16" t="inlineStr">
        <is>
          <t>Alberto Manzor</t>
        </is>
      </c>
      <c r="K50" s="16" t="inlineStr">
        <is>
          <t>Liz B Lopez</t>
        </is>
      </c>
      <c r="L50" s="16" t="inlineStr">
        <is>
          <t>United Auto statement</t>
        </is>
      </c>
      <c r="M50" s="16" t="inlineStr">
        <is>
          <t>UAO-062029201</t>
        </is>
      </c>
      <c r="N50" s="12" t="n">
        <v>1</v>
      </c>
      <c r="O50" s="17" t="n">
        <v>-17.73</v>
      </c>
      <c r="P50" s="16" t="inlineStr">
        <is>
          <t>LOPEZ</t>
        </is>
      </c>
    </row>
    <row r="51">
      <c r="A51" s="18" t="n">
        <v>26</v>
      </c>
      <c r="B51" s="13" t="inlineStr"/>
      <c r="C51" s="10" t="inlineStr">
        <is>
          <t>D</t>
        </is>
      </c>
      <c r="D51" s="19" t="inlineStr">
        <is>
          <t>Common surname only, first names differ - most likely a different person</t>
        </is>
      </c>
      <c r="E51" s="21" t="inlineStr">
        <is>
          <t>LOPEZ S.</t>
        </is>
      </c>
      <c r="F51" s="21" t="inlineStr">
        <is>
          <t>Progressive</t>
        </is>
      </c>
      <c r="G51" s="21" t="inlineStr">
        <is>
          <t>971187635</t>
        </is>
      </c>
      <c r="H51" s="18" t="n">
        <v>1</v>
      </c>
      <c r="I51" s="22" t="n">
        <v>94.8</v>
      </c>
      <c r="J51" s="21" t="inlineStr">
        <is>
          <t>Unassigned</t>
        </is>
      </c>
      <c r="K51" s="21" t="inlineStr">
        <is>
          <t>Liz B Lopez</t>
        </is>
      </c>
      <c r="L51" s="21" t="inlineStr">
        <is>
          <t>United Auto statement</t>
        </is>
      </c>
      <c r="M51" s="21" t="inlineStr">
        <is>
          <t>UAO-062029201</t>
        </is>
      </c>
      <c r="N51" s="18" t="n">
        <v>1</v>
      </c>
      <c r="O51" s="22" t="n">
        <v>-17.73</v>
      </c>
      <c r="P51" s="21" t="inlineStr">
        <is>
          <t>LOPEZ</t>
        </is>
      </c>
    </row>
    <row r="52">
      <c r="A52" s="12" t="n">
        <v>27</v>
      </c>
      <c r="B52" s="13" t="inlineStr"/>
      <c r="C52" s="10" t="inlineStr">
        <is>
          <t>D</t>
        </is>
      </c>
      <c r="D52" s="14" t="inlineStr">
        <is>
          <t>Common surname only, first names differ - most likely a different person</t>
        </is>
      </c>
      <c r="E52" s="16" t="inlineStr">
        <is>
          <t>ANTONIO PEREZ</t>
        </is>
      </c>
      <c r="F52" s="16" t="inlineStr">
        <is>
          <t>GEICO</t>
        </is>
      </c>
      <c r="G52" s="16" t="inlineStr">
        <is>
          <t>6261712878-461298949</t>
        </is>
      </c>
      <c r="H52" s="12" t="n">
        <v>4</v>
      </c>
      <c r="I52" s="17" t="n">
        <v>692.7</v>
      </c>
      <c r="J52" s="16" t="inlineStr">
        <is>
          <t>Amanda Montano</t>
        </is>
      </c>
      <c r="K52" s="16" t="inlineStr">
        <is>
          <t>Michel Perez Sosa</t>
        </is>
      </c>
      <c r="L52" s="16" t="inlineStr">
        <is>
          <t>United Auto statement</t>
        </is>
      </c>
      <c r="M52" s="16" t="inlineStr">
        <is>
          <t>UAO-054889203</t>
        </is>
      </c>
      <c r="N52" s="12" t="n">
        <v>2</v>
      </c>
      <c r="O52" s="17" t="n">
        <v>-25.09</v>
      </c>
      <c r="P52" s="16" t="inlineStr">
        <is>
          <t>PEREZ</t>
        </is>
      </c>
    </row>
    <row r="53">
      <c r="A53" s="18" t="n">
        <v>28</v>
      </c>
      <c r="B53" s="13" t="inlineStr"/>
      <c r="C53" s="10" t="inlineStr">
        <is>
          <t>D</t>
        </is>
      </c>
      <c r="D53" s="19" t="inlineStr">
        <is>
          <t>Common surname only, first names differ - most likely a different person</t>
        </is>
      </c>
      <c r="E53" s="21" t="inlineStr">
        <is>
          <t>VICENTE PEREZ</t>
        </is>
      </c>
      <c r="F53" s="21" t="inlineStr">
        <is>
          <t>GEICO</t>
        </is>
      </c>
      <c r="G53" s="21" t="inlineStr">
        <is>
          <t>6261547670-461191603</t>
        </is>
      </c>
      <c r="H53" s="18" t="n">
        <v>2</v>
      </c>
      <c r="I53" s="22" t="n">
        <v>755.4</v>
      </c>
      <c r="J53" s="21" t="inlineStr">
        <is>
          <t>Amanda Montano</t>
        </is>
      </c>
      <c r="K53" s="21" t="inlineStr">
        <is>
          <t>Michel Perez Sosa</t>
        </is>
      </c>
      <c r="L53" s="21" t="inlineStr">
        <is>
          <t>United Auto statement</t>
        </is>
      </c>
      <c r="M53" s="21" t="inlineStr">
        <is>
          <t>UAO-054889203</t>
        </is>
      </c>
      <c r="N53" s="18" t="n">
        <v>2</v>
      </c>
      <c r="O53" s="22" t="n">
        <v>-25.09</v>
      </c>
      <c r="P53" s="21" t="inlineStr">
        <is>
          <t>PEREZ</t>
        </is>
      </c>
    </row>
    <row r="54">
      <c r="A54" s="12" t="n">
        <v>29</v>
      </c>
      <c r="B54" s="13" t="inlineStr"/>
      <c r="C54" s="10" t="inlineStr">
        <is>
          <t>D</t>
        </is>
      </c>
      <c r="D54" s="14" t="inlineStr">
        <is>
          <t>Common surname only, first names differ - most likely a different person</t>
        </is>
      </c>
      <c r="E54" s="16" t="inlineStr">
        <is>
          <t>YADIAN PEREZ HERRERA</t>
        </is>
      </c>
      <c r="F54" s="16" t="inlineStr">
        <is>
          <t>GEICO</t>
        </is>
      </c>
      <c r="G54" s="16" t="inlineStr">
        <is>
          <t>6224341963-445884698</t>
        </is>
      </c>
      <c r="H54" s="12" t="n">
        <v>4</v>
      </c>
      <c r="I54" s="17" t="n">
        <v>-112.18</v>
      </c>
      <c r="J54" s="16" t="inlineStr">
        <is>
          <t>Alberto Manzor Jr</t>
        </is>
      </c>
      <c r="K54" s="16" t="inlineStr">
        <is>
          <t>Michel Perez Sosa</t>
        </is>
      </c>
      <c r="L54" s="16" t="inlineStr">
        <is>
          <t>United Auto statement</t>
        </is>
      </c>
      <c r="M54" s="16" t="inlineStr">
        <is>
          <t>UAO-054889203</t>
        </is>
      </c>
      <c r="N54" s="12" t="n">
        <v>2</v>
      </c>
      <c r="O54" s="17" t="n">
        <v>-25.09</v>
      </c>
      <c r="P54" s="16" t="inlineStr">
        <is>
          <t>PEREZ</t>
        </is>
      </c>
    </row>
    <row r="55">
      <c r="A55" s="18" t="n">
        <v>30</v>
      </c>
      <c r="B55" s="13" t="inlineStr"/>
      <c r="C55" s="10" t="inlineStr">
        <is>
          <t>D</t>
        </is>
      </c>
      <c r="D55" s="19" t="inlineStr">
        <is>
          <t>Common surname only, first names differ - most likely a different person</t>
        </is>
      </c>
      <c r="E55" s="21" t="inlineStr">
        <is>
          <t>PEREZ ROY, JUAN</t>
        </is>
      </c>
      <c r="F55" s="21" t="inlineStr">
        <is>
          <t>Kemper Auto</t>
        </is>
      </c>
      <c r="G55" s="21" t="inlineStr">
        <is>
          <t>10213255201-2</t>
        </is>
      </c>
      <c r="H55" s="18" t="n">
        <v>4</v>
      </c>
      <c r="I55" s="22" t="n">
        <v>-706.8</v>
      </c>
      <c r="J55" s="21" t="inlineStr"/>
      <c r="K55" s="21" t="inlineStr">
        <is>
          <t>Michel Perez Sosa</t>
        </is>
      </c>
      <c r="L55" s="21" t="inlineStr">
        <is>
          <t>United Auto statement</t>
        </is>
      </c>
      <c r="M55" s="21" t="inlineStr">
        <is>
          <t>UAO-054889203</t>
        </is>
      </c>
      <c r="N55" s="18" t="n">
        <v>2</v>
      </c>
      <c r="O55" s="22" t="n">
        <v>-25.09</v>
      </c>
      <c r="P55" s="21" t="inlineStr">
        <is>
          <t>PEREZ</t>
        </is>
      </c>
    </row>
    <row r="56">
      <c r="A56" s="12" t="n">
        <v>31</v>
      </c>
      <c r="B56" s="13" t="inlineStr"/>
      <c r="C56" s="10" t="inlineStr">
        <is>
          <t>D</t>
        </is>
      </c>
      <c r="D56" s="14" t="inlineStr">
        <is>
          <t>Common surname only, first names differ - most likely a different person</t>
        </is>
      </c>
      <c r="E56" s="16" t="inlineStr">
        <is>
          <t>DELGADO PERE E.</t>
        </is>
      </c>
      <c r="F56" s="16" t="inlineStr">
        <is>
          <t>Progressive</t>
        </is>
      </c>
      <c r="G56" s="16" t="inlineStr">
        <is>
          <t>983213729</t>
        </is>
      </c>
      <c r="H56" s="12" t="n">
        <v>2</v>
      </c>
      <c r="I56" s="17" t="n">
        <v>112.8</v>
      </c>
      <c r="J56" s="16" t="inlineStr">
        <is>
          <t>Unassigned</t>
        </is>
      </c>
      <c r="K56" s="16" t="inlineStr">
        <is>
          <t>Michel Perez Sosa</t>
        </is>
      </c>
      <c r="L56" s="16" t="inlineStr">
        <is>
          <t>United Auto statement</t>
        </is>
      </c>
      <c r="M56" s="16" t="inlineStr">
        <is>
          <t>UAO-054889203</t>
        </is>
      </c>
      <c r="N56" s="12" t="n">
        <v>2</v>
      </c>
      <c r="O56" s="17" t="n">
        <v>-25.09</v>
      </c>
      <c r="P56" s="16" t="inlineStr">
        <is>
          <t>PEREZ</t>
        </is>
      </c>
    </row>
    <row r="57">
      <c r="A57" s="18" t="n">
        <v>32</v>
      </c>
      <c r="B57" s="13" t="inlineStr"/>
      <c r="C57" s="10" t="inlineStr">
        <is>
          <t>D</t>
        </is>
      </c>
      <c r="D57" s="19" t="inlineStr">
        <is>
          <t>Common surname only, first names differ - most likely a different person</t>
        </is>
      </c>
      <c r="E57" s="21" t="inlineStr">
        <is>
          <t>PEREZ H.</t>
        </is>
      </c>
      <c r="F57" s="21" t="inlineStr">
        <is>
          <t>Progressive</t>
        </is>
      </c>
      <c r="G57" s="21" t="inlineStr">
        <is>
          <t>866921710</t>
        </is>
      </c>
      <c r="H57" s="18" t="n">
        <v>2</v>
      </c>
      <c r="I57" s="22" t="n">
        <v>106.8</v>
      </c>
      <c r="J57" s="21" t="inlineStr">
        <is>
          <t>Alberto Manzor</t>
        </is>
      </c>
      <c r="K57" s="21" t="inlineStr">
        <is>
          <t>Michel Perez Sosa</t>
        </is>
      </c>
      <c r="L57" s="21" t="inlineStr">
        <is>
          <t>United Auto statement</t>
        </is>
      </c>
      <c r="M57" s="21" t="inlineStr">
        <is>
          <t>UAO-054889203</t>
        </is>
      </c>
      <c r="N57" s="18" t="n">
        <v>2</v>
      </c>
      <c r="O57" s="22" t="n">
        <v>-25.09</v>
      </c>
      <c r="P57" s="21" t="inlineStr">
        <is>
          <t>PEREZ</t>
        </is>
      </c>
    </row>
    <row r="58">
      <c r="A58" s="12" t="n">
        <v>33</v>
      </c>
      <c r="B58" s="13" t="inlineStr"/>
      <c r="C58" s="10" t="inlineStr">
        <is>
          <t>D</t>
        </is>
      </c>
      <c r="D58" s="14" t="inlineStr">
        <is>
          <t>Common surname only, first names differ - most likely a different person</t>
        </is>
      </c>
      <c r="E58" s="16" t="inlineStr">
        <is>
          <t>PEREZ J.</t>
        </is>
      </c>
      <c r="F58" s="16" t="inlineStr">
        <is>
          <t>Progressive</t>
        </is>
      </c>
      <c r="G58" s="16" t="inlineStr">
        <is>
          <t>999181480</t>
        </is>
      </c>
      <c r="H58" s="12" t="n">
        <v>2</v>
      </c>
      <c r="I58" s="17" t="n">
        <v>123.8</v>
      </c>
      <c r="J58" s="16" t="inlineStr">
        <is>
          <t>Alberto Manzor</t>
        </is>
      </c>
      <c r="K58" s="16" t="inlineStr">
        <is>
          <t>Michel Perez Sosa</t>
        </is>
      </c>
      <c r="L58" s="16" t="inlineStr">
        <is>
          <t>United Auto statement</t>
        </is>
      </c>
      <c r="M58" s="16" t="inlineStr">
        <is>
          <t>UAO-054889203</t>
        </is>
      </c>
      <c r="N58" s="12" t="n">
        <v>2</v>
      </c>
      <c r="O58" s="17" t="n">
        <v>-25.09</v>
      </c>
      <c r="P58" s="16" t="inlineStr">
        <is>
          <t>PEREZ</t>
        </is>
      </c>
    </row>
    <row r="59">
      <c r="A59" s="18" t="n">
        <v>34</v>
      </c>
      <c r="B59" s="13" t="inlineStr"/>
      <c r="C59" s="10" t="inlineStr">
        <is>
          <t>D</t>
        </is>
      </c>
      <c r="D59" s="19" t="inlineStr">
        <is>
          <t>Common surname only, first names differ - most likely a different person</t>
        </is>
      </c>
      <c r="E59" s="21" t="inlineStr">
        <is>
          <t>RAMON RODRIGUEZ FALCON</t>
        </is>
      </c>
      <c r="F59" s="21" t="inlineStr">
        <is>
          <t>GEICO</t>
        </is>
      </c>
      <c r="G59" s="21" t="inlineStr">
        <is>
          <t>6261849761-461404862</t>
        </is>
      </c>
      <c r="H59" s="18" t="n">
        <v>1</v>
      </c>
      <c r="I59" s="22" t="n">
        <v>193.95</v>
      </c>
      <c r="J59" s="21" t="inlineStr">
        <is>
          <t>Alberto Manzor Jr</t>
        </is>
      </c>
      <c r="K59" s="21" t="inlineStr">
        <is>
          <t>Olymar C Jimenez Rodr</t>
        </is>
      </c>
      <c r="L59" s="21" t="inlineStr">
        <is>
          <t>United Auto statement</t>
        </is>
      </c>
      <c r="M59" s="21" t="inlineStr">
        <is>
          <t>UAO-000663386</t>
        </is>
      </c>
      <c r="N59" s="18" t="n">
        <v>1</v>
      </c>
      <c r="O59" s="22" t="n">
        <v>-14.68</v>
      </c>
      <c r="P59" s="21" t="inlineStr">
        <is>
          <t>RODR</t>
        </is>
      </c>
    </row>
    <row r="60">
      <c r="A60" s="12" t="n">
        <v>35</v>
      </c>
      <c r="B60" s="13" t="inlineStr"/>
      <c r="C60" s="10" t="inlineStr">
        <is>
          <t>D</t>
        </is>
      </c>
      <c r="D60" s="14" t="inlineStr">
        <is>
          <t>Common surname only, first names differ - most likely a different person</t>
        </is>
      </c>
      <c r="E60" s="16" t="inlineStr">
        <is>
          <t>FAYAS RODRIG G.</t>
        </is>
      </c>
      <c r="F60" s="16" t="inlineStr">
        <is>
          <t>Progressive</t>
        </is>
      </c>
      <c r="G60" s="16" t="inlineStr">
        <is>
          <t>867943703</t>
        </is>
      </c>
      <c r="H60" s="12" t="n">
        <v>1</v>
      </c>
      <c r="I60" s="17" t="n">
        <v>179.4</v>
      </c>
      <c r="J60" s="16" t="inlineStr">
        <is>
          <t>Alberto Manzor</t>
        </is>
      </c>
      <c r="K60" s="16" t="inlineStr">
        <is>
          <t>Olymar C Jimenez Rodr</t>
        </is>
      </c>
      <c r="L60" s="16" t="inlineStr">
        <is>
          <t>United Auto statement</t>
        </is>
      </c>
      <c r="M60" s="16" t="inlineStr">
        <is>
          <t>UAO-000663386</t>
        </is>
      </c>
      <c r="N60" s="12" t="n">
        <v>1</v>
      </c>
      <c r="O60" s="17" t="n">
        <v>-14.68</v>
      </c>
      <c r="P60" s="16" t="inlineStr">
        <is>
          <t>RODR</t>
        </is>
      </c>
    </row>
    <row r="61">
      <c r="A61" s="18" t="n">
        <v>36</v>
      </c>
      <c r="B61" s="13" t="inlineStr"/>
      <c r="C61" s="10" t="inlineStr">
        <is>
          <t>D</t>
        </is>
      </c>
      <c r="D61" s="19" t="inlineStr">
        <is>
          <t>Common surname only, first names differ - most likely a different person</t>
        </is>
      </c>
      <c r="E61" s="21" t="inlineStr">
        <is>
          <t>RODRIGUEZ L.</t>
        </is>
      </c>
      <c r="F61" s="21" t="inlineStr">
        <is>
          <t>Progressive</t>
        </is>
      </c>
      <c r="G61" s="21" t="inlineStr">
        <is>
          <t>872916061</t>
        </is>
      </c>
      <c r="H61" s="18" t="n">
        <v>1</v>
      </c>
      <c r="I61" s="22" t="n">
        <v>21.99</v>
      </c>
      <c r="J61" s="21" t="inlineStr">
        <is>
          <t>Alberto Manzor</t>
        </is>
      </c>
      <c r="K61" s="21" t="inlineStr">
        <is>
          <t>Olymar C Jimenez Rodr</t>
        </is>
      </c>
      <c r="L61" s="21" t="inlineStr">
        <is>
          <t>United Auto statement</t>
        </is>
      </c>
      <c r="M61" s="21" t="inlineStr">
        <is>
          <t>UAO-000663386</t>
        </is>
      </c>
      <c r="N61" s="18" t="n">
        <v>1</v>
      </c>
      <c r="O61" s="22" t="n">
        <v>-14.68</v>
      </c>
      <c r="P61" s="21" t="inlineStr">
        <is>
          <t>RODR</t>
        </is>
      </c>
    </row>
    <row r="62">
      <c r="A62" s="12" t="n">
        <v>37</v>
      </c>
      <c r="B62" s="13" t="inlineStr"/>
      <c r="C62" s="10" t="inlineStr">
        <is>
          <t>D</t>
        </is>
      </c>
      <c r="D62" s="14" t="inlineStr">
        <is>
          <t>Common surname only, first names differ - most likely a different person</t>
        </is>
      </c>
      <c r="E62" s="16" t="inlineStr">
        <is>
          <t>RODRIGUEZ Y.</t>
        </is>
      </c>
      <c r="F62" s="16" t="inlineStr">
        <is>
          <t>Progressive</t>
        </is>
      </c>
      <c r="G62" s="16" t="inlineStr">
        <is>
          <t>964557631</t>
        </is>
      </c>
      <c r="H62" s="12" t="n">
        <v>1</v>
      </c>
      <c r="I62" s="17" t="n">
        <v>190.7</v>
      </c>
      <c r="J62" s="16" t="inlineStr">
        <is>
          <t>Alberto Manzor</t>
        </is>
      </c>
      <c r="K62" s="16" t="inlineStr">
        <is>
          <t>Olymar C Jimenez Rodr</t>
        </is>
      </c>
      <c r="L62" s="16" t="inlineStr">
        <is>
          <t>United Auto statement</t>
        </is>
      </c>
      <c r="M62" s="16" t="inlineStr">
        <is>
          <t>UAO-000663386</t>
        </is>
      </c>
      <c r="N62" s="12" t="n">
        <v>1</v>
      </c>
      <c r="O62" s="17" t="n">
        <v>-14.68</v>
      </c>
      <c r="P62" s="16" t="inlineStr">
        <is>
          <t>RODR</t>
        </is>
      </c>
    </row>
    <row r="63">
      <c r="A63" s="18" t="n">
        <v>38</v>
      </c>
      <c r="B63" s="13" t="inlineStr"/>
      <c r="C63" s="10" t="inlineStr">
        <is>
          <t>D</t>
        </is>
      </c>
      <c r="D63" s="19" t="inlineStr">
        <is>
          <t>Common surname only, first names differ - most likely a different person</t>
        </is>
      </c>
      <c r="E63" s="21" t="inlineStr">
        <is>
          <t>HAROLD DIAZ</t>
        </is>
      </c>
      <c r="F63" s="21" t="inlineStr">
        <is>
          <t>GEICO</t>
        </is>
      </c>
      <c r="G63" s="21" t="inlineStr">
        <is>
          <t>6236984149-456570864</t>
        </is>
      </c>
      <c r="H63" s="18" t="n">
        <v>1</v>
      </c>
      <c r="I63" s="22" t="n">
        <v>151.44</v>
      </c>
      <c r="J63" s="21" t="inlineStr">
        <is>
          <t>Amanda Montano</t>
        </is>
      </c>
      <c r="K63" s="21" t="inlineStr">
        <is>
          <t>Yainelys Diaz Salazar</t>
        </is>
      </c>
      <c r="L63" s="21" t="inlineStr">
        <is>
          <t>United Auto statement</t>
        </is>
      </c>
      <c r="M63" s="21" t="inlineStr">
        <is>
          <t>UAO-000653831</t>
        </is>
      </c>
      <c r="N63" s="18" t="n">
        <v>1</v>
      </c>
      <c r="O63" s="22" t="n">
        <v>-23.67</v>
      </c>
      <c r="P63" s="21" t="inlineStr">
        <is>
          <t>DIAZ</t>
        </is>
      </c>
    </row>
    <row r="64">
      <c r="A64" s="12" t="n">
        <v>39</v>
      </c>
      <c r="B64" s="13" t="inlineStr"/>
      <c r="C64" s="10" t="inlineStr">
        <is>
          <t>D</t>
        </is>
      </c>
      <c r="D64" s="14" t="inlineStr">
        <is>
          <t>Common surname only, first names differ - most likely a different person</t>
        </is>
      </c>
      <c r="E64" s="16" t="inlineStr">
        <is>
          <t>DIAZ J.</t>
        </is>
      </c>
      <c r="F64" s="16" t="inlineStr">
        <is>
          <t>Progressive</t>
        </is>
      </c>
      <c r="G64" s="16" t="inlineStr">
        <is>
          <t>874616317</t>
        </is>
      </c>
      <c r="H64" s="12" t="n">
        <v>1</v>
      </c>
      <c r="I64" s="17" t="n">
        <v>-74.47</v>
      </c>
      <c r="J64" s="16" t="inlineStr">
        <is>
          <t>Amanda Montano</t>
        </is>
      </c>
      <c r="K64" s="16" t="inlineStr">
        <is>
          <t>Yainelys Diaz Salazar</t>
        </is>
      </c>
      <c r="L64" s="16" t="inlineStr">
        <is>
          <t>United Auto statement</t>
        </is>
      </c>
      <c r="M64" s="16" t="inlineStr">
        <is>
          <t>UAO-000653831</t>
        </is>
      </c>
      <c r="N64" s="12" t="n">
        <v>1</v>
      </c>
      <c r="O64" s="17" t="n">
        <v>-23.67</v>
      </c>
      <c r="P64" s="16" t="inlineStr">
        <is>
          <t>DIAZ</t>
        </is>
      </c>
    </row>
    <row r="66">
      <c r="A66" s="23" t="inlineStr">
        <is>
          <t>39 candidate pairs. Amounts are shown per pair — a single PDF line can appear against more than one name, so these columns are not totalled. Commission figures for all four PDFs were reconciled to the totals printed on the statements themselves.</t>
        </is>
      </c>
    </row>
  </sheetData>
  <autoFilter ref="A25:P64"/>
  <mergeCells count="18">
    <mergeCell ref="D21:F21"/>
    <mergeCell ref="C7:Q7"/>
    <mergeCell ref="C15:Q15"/>
    <mergeCell ref="C17:Q17"/>
    <mergeCell ref="C6:Q6"/>
    <mergeCell ref="C10:Q10"/>
    <mergeCell ref="C16:Q16"/>
    <mergeCell ref="A66:P66"/>
    <mergeCell ref="D23:F23"/>
    <mergeCell ref="C11:Q11"/>
    <mergeCell ref="C14:Q14"/>
    <mergeCell ref="D22:F22"/>
    <mergeCell ref="C5:Q5"/>
    <mergeCell ref="A2:Q2"/>
    <mergeCell ref="C8:Q8"/>
    <mergeCell ref="C9:Q9"/>
    <mergeCell ref="D20:F20"/>
    <mergeCell ref="A1:Q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2026-08-10T21:41:30Z</dcterms:created>
  <dcterms:modified xsi:type="dcterms:W3CDTF">2026-08-10T21:41:30Z</dcterms:modified>
</cp:coreProperties>
</file>